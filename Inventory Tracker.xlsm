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24226"/>
  <mc:AlternateContent xmlns:mc="http://schemas.openxmlformats.org/markup-compatibility/2006">
    <mc:Choice Requires="x15">
      <x15ac:absPath xmlns:x15ac="http://schemas.microsoft.com/office/spreadsheetml/2010/11/ac" url="https://envisionengineering286.sharepoint.com/sites/Alex/Shared Documents/General/"/>
    </mc:Choice>
  </mc:AlternateContent>
  <xr:revisionPtr revIDLastSave="289" documentId="13_ncr:1_{6B61E429-2753-4C25-9E79-2B79551369C0}" xr6:coauthVersionLast="47" xr6:coauthVersionMax="47" xr10:uidLastSave="{F3302C96-9C65-4064-B9E7-829AF595975F}"/>
  <bookViews>
    <workbookView showHorizontalScroll="0" showSheetTabs="0" xWindow="28680" yWindow="-120" windowWidth="29040" windowHeight="15840" tabRatio="541" xr2:uid="{00000000-000D-0000-FFFF-FFFF00000000}"/>
  </bookViews>
  <sheets>
    <sheet name="CreatedByAlexFare" sheetId="13" r:id="rId1"/>
    <sheet name="Audit" sheetId="44" r:id="rId2"/>
    <sheet name="Credentials" sheetId="27" r:id="rId3"/>
    <sheet name="Admin" sheetId="34" r:id="rId4"/>
    <sheet name="Login" sheetId="38" r:id="rId5"/>
    <sheet name="Labels" sheetId="35" state="hidden" r:id="rId6"/>
    <sheet name="Format" sheetId="39" r:id="rId7"/>
  </sheets>
  <definedNames>
    <definedName name="_xlnm._FilterDatabase" localSheetId="0" hidden="1">CreatedByAlexFare!$J$2:$T$36</definedName>
    <definedName name="Gage_IDs">Gage_List_3.12.3[Product]</definedName>
    <definedName name="inputPassword">Credentials!$B$2:$B$4</definedName>
    <definedName name="inputUsername">Credentials!$A$2:$A$4</definedName>
    <definedName name="Password">Credentials!$B$2:$B$4</definedName>
    <definedName name="_xlnm.Print_Area" localSheetId="0">CreatedByAlexFare!$A$2:$G$36</definedName>
    <definedName name="UserCombinations">Credentials!$A$2:$B$4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 i="13" l="1"/>
  <c r="A4" i="35"/>
</calcChain>
</file>

<file path=xl/sharedStrings.xml><?xml version="1.0" encoding="utf-8"?>
<sst xmlns="http://schemas.openxmlformats.org/spreadsheetml/2006/main" count="217" uniqueCount="188">
  <si>
    <t>Description</t>
  </si>
  <si>
    <t>Column2</t>
  </si>
  <si>
    <t>Column3</t>
  </si>
  <si>
    <t>Column4</t>
  </si>
  <si>
    <t>Column5</t>
  </si>
  <si>
    <t>Last Edited</t>
  </si>
  <si>
    <t>Last Searched</t>
  </si>
  <si>
    <t>Last User</t>
  </si>
  <si>
    <t>Mustang Console</t>
  </si>
  <si>
    <t>Username</t>
  </si>
  <si>
    <t>Password</t>
  </si>
  <si>
    <t>Name</t>
  </si>
  <si>
    <t>Phone Number</t>
  </si>
  <si>
    <t>Address</t>
  </si>
  <si>
    <t>Job Position</t>
  </si>
  <si>
    <t>Email</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</si>
  <si>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</si>
  <si>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</si>
  <si>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</si>
  <si>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</si>
  <si>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</si>
  <si>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</si>
  <si>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</si>
  <si>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</si>
  <si>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</si>
  <si>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</si>
  <si>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</si>
  <si>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</si>
  <si>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</si>
  <si>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</si>
  <si>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</si>
  <si>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</si>
  <si>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</si>
  <si>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</si>
  <si>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Persistent Login</t>
  </si>
  <si>
    <t>Code</t>
  </si>
  <si>
    <t>1 = Required | 2 = Not Required</t>
  </si>
  <si>
    <t>Stats:</t>
  </si>
  <si>
    <t>Profile:</t>
  </si>
  <si>
    <t>Logged In As</t>
  </si>
  <si>
    <t>Attachment</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</si>
  <si>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</si>
  <si>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</si>
  <si>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</si>
  <si>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</si>
  <si>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</si>
  <si>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</si>
  <si>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</si>
  <si>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</si>
  <si>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Column1</t>
  </si>
  <si>
    <t>Product</t>
  </si>
  <si>
    <t>Inventory</t>
  </si>
  <si>
    <t>On-Order</t>
  </si>
  <si>
    <t>1024229-HSC</t>
  </si>
  <si>
    <t>Raptor Tank - HSC</t>
  </si>
  <si>
    <t>1024229-Tubes</t>
  </si>
  <si>
    <t>Raptor Tank - Tubes</t>
  </si>
  <si>
    <t>1024229-Cover</t>
  </si>
  <si>
    <t>Raptor Tank - Covers</t>
  </si>
  <si>
    <t>1021997R2-HSC</t>
  </si>
  <si>
    <t>MY21 - HSC</t>
  </si>
  <si>
    <t>1021997R2-Tubes</t>
  </si>
  <si>
    <t>MY21 - Tubes</t>
  </si>
  <si>
    <t>1021997R2-Cover</t>
  </si>
  <si>
    <t>MY21 - Covers</t>
  </si>
  <si>
    <t>1025134-HSC</t>
  </si>
  <si>
    <t>Mustang - HSC</t>
  </si>
  <si>
    <t>1025134-Tubes</t>
  </si>
  <si>
    <t>Mustang - Tubes</t>
  </si>
  <si>
    <t>1025134-Cover</t>
  </si>
  <si>
    <t>Mustang - Covers</t>
  </si>
  <si>
    <t>1025271-Cover</t>
  </si>
  <si>
    <t>Mustang Rear - Covers</t>
  </si>
  <si>
    <t>1025271-Tube</t>
  </si>
  <si>
    <t>Mustang Rear - Tubes</t>
  </si>
  <si>
    <t>1025320-Tube</t>
  </si>
  <si>
    <t>Mustang Front - Tubes</t>
  </si>
  <si>
    <t>1023049-Tray</t>
  </si>
  <si>
    <t>Skirtless - Trays</t>
  </si>
  <si>
    <t>1023049-Tube</t>
  </si>
  <si>
    <t>Skirtless - Tubes</t>
  </si>
  <si>
    <t>1023049-Aircell</t>
  </si>
  <si>
    <t>Skirtless - Aircell</t>
  </si>
  <si>
    <t>1019176-Tray</t>
  </si>
  <si>
    <t>Iron D - Trays</t>
  </si>
  <si>
    <t>1019176-Tube</t>
  </si>
  <si>
    <t>Iron D - Tubes</t>
  </si>
  <si>
    <t>1019176-Aircell</t>
  </si>
  <si>
    <t>Iron D - Aircells</t>
  </si>
  <si>
    <t>39X46-Flats</t>
  </si>
  <si>
    <t>39 X 46 - Flats</t>
  </si>
  <si>
    <t>58900535-Tray</t>
  </si>
  <si>
    <t>H-D OEM Fender - Trays</t>
  </si>
  <si>
    <t>58900535-Tube</t>
  </si>
  <si>
    <t>H-D OEM Fender - Tubes</t>
  </si>
  <si>
    <t>58900196-Tube</t>
  </si>
  <si>
    <t>H-D Fender - Tubes</t>
  </si>
  <si>
    <t>58900196-Aircell</t>
  </si>
  <si>
    <t>H-D Fender - Aircell</t>
  </si>
  <si>
    <t>1019176-02-HSC</t>
  </si>
  <si>
    <t>IronD - Side Skirts - HSC</t>
  </si>
  <si>
    <t>1019176-02-Cover</t>
  </si>
  <si>
    <t>IronD - Side Skirts - Covers</t>
  </si>
  <si>
    <t>1019176-02-PTN</t>
  </si>
  <si>
    <t>IronD - Side Skirts - PTN</t>
  </si>
  <si>
    <t>Large Envision Boxes</t>
  </si>
  <si>
    <t>1021870-PTN</t>
  </si>
  <si>
    <t>Cobra - PTN</t>
  </si>
  <si>
    <t>5266759-HSC</t>
  </si>
  <si>
    <t>Raptor Console - HSC</t>
  </si>
  <si>
    <t>5266759-Pad</t>
  </si>
  <si>
    <t>Raptor Console - Pad</t>
  </si>
  <si>
    <t>5266759-PTN</t>
  </si>
  <si>
    <t>Raptor Console - PTN</t>
  </si>
  <si>
    <t>1027828-Tube</t>
  </si>
  <si>
    <t>Mustang Front Sport - Tubes</t>
  </si>
  <si>
    <t>Console</t>
  </si>
  <si>
    <t>Console-PTN</t>
  </si>
  <si>
    <t>Mustang Console - PTN</t>
  </si>
  <si>
    <t>Alex Fare</t>
  </si>
  <si>
    <t>Alex</t>
  </si>
  <si>
    <t>xdVs1xCWev06Oyx63Ji1GA7B1D8knGNWpZ8KEjGL7WjO3NEi96cNtcuC08Dm36fKbJcfP7tqu11Qg5dR7FtSkA==</t>
  </si>
  <si>
    <t>616-773-0393</t>
  </si>
  <si>
    <t/>
  </si>
  <si>
    <t>Quality Manager</t>
  </si>
  <si>
    <t>alex@envisionengineering.com</t>
  </si>
  <si>
    <t>Envision Engineering</t>
  </si>
  <si>
    <t>lblReceivedIn</t>
  </si>
  <si>
    <t>lblOrderEntry</t>
  </si>
  <si>
    <t>lblUsageReport</t>
  </si>
  <si>
    <t>Column6</t>
  </si>
  <si>
    <t>Column7</t>
  </si>
  <si>
    <t>Column8</t>
  </si>
  <si>
    <t>Column9</t>
  </si>
  <si>
    <t>Column10</t>
  </si>
  <si>
    <t>Column11</t>
  </si>
  <si>
    <t>Column12</t>
  </si>
  <si>
    <t>Column13</t>
  </si>
  <si>
    <t>Cardboard Tracker</t>
  </si>
  <si>
    <t>7/5/2023 8:59:43 AM</t>
  </si>
  <si>
    <t>7/5/2023 9:00:03 AM</t>
  </si>
  <si>
    <t>7/5/2023 9:00:22 AM</t>
  </si>
  <si>
    <t>Ryan Bauman</t>
  </si>
  <si>
    <t>7/5/2023 9:20:03 AM</t>
  </si>
  <si>
    <t>7/5/2023 9:20:31 AM</t>
  </si>
  <si>
    <t>2500</t>
  </si>
  <si>
    <t>7/5/2023 9:20:54 AM</t>
  </si>
  <si>
    <t>1000</t>
  </si>
  <si>
    <t>7/5/2023 9:21:28 AM</t>
  </si>
  <si>
    <t>0</t>
  </si>
  <si>
    <t>7/10/2023 1:23:53 PM</t>
  </si>
  <si>
    <t>7/11/2023 8:26:11 AM</t>
  </si>
  <si>
    <t>80</t>
  </si>
  <si>
    <t>7/11/2023 8:26:53 AM</t>
  </si>
  <si>
    <t>7/13/2023 8:03:03 AM</t>
  </si>
  <si>
    <t>1011</t>
  </si>
  <si>
    <t>7/13/2023 8:10:52 AM</t>
  </si>
  <si>
    <t>7/13/2023 8:11:23 AM</t>
  </si>
  <si>
    <t>7/13/2023 8:11:43 AM</t>
  </si>
  <si>
    <t>538</t>
  </si>
  <si>
    <t>7/13/2023 8:12:37 AM</t>
  </si>
  <si>
    <t>2886</t>
  </si>
  <si>
    <t>7/14/2023 8:17:28 AM</t>
  </si>
  <si>
    <t>1050</t>
  </si>
  <si>
    <t>7/20/2023 9:05:41 AM</t>
  </si>
  <si>
    <t>7/20/2023 10:04:06 AM</t>
  </si>
  <si>
    <t>1808</t>
  </si>
  <si>
    <t>140</t>
  </si>
  <si>
    <t>7/20/2023 12:34:01 PM</t>
  </si>
  <si>
    <t>2604</t>
  </si>
  <si>
    <t>7/20/2023 2:12:08 PM</t>
  </si>
  <si>
    <t>336</t>
  </si>
  <si>
    <t>7/20/2023 2:12:45 PM</t>
  </si>
  <si>
    <t>Ryan</t>
  </si>
  <si>
    <t>yLTroT+arc7fNhsh3Q9c6fdC49ZvTy8qQJfjdLocPXAJevttnkanf7MVca9hwkA45OTmA5WIvGvmgcdibKbTkQ==</t>
  </si>
  <si>
    <t>1243</t>
  </si>
  <si>
    <t>7/26/2023 12:52:52 PM</t>
  </si>
  <si>
    <t>1250</t>
  </si>
  <si>
    <t>7/26/2023 12:53:20 PM</t>
  </si>
  <si>
    <t>600</t>
  </si>
  <si>
    <t>1200</t>
  </si>
  <si>
    <t>7/26/2023 12:55:19 PM</t>
  </si>
  <si>
    <t>Audit Log</t>
  </si>
  <si>
    <t>8/3/2023 2:03:59 PM</t>
  </si>
  <si>
    <t>v1.0.1</t>
  </si>
  <si>
    <t>1772</t>
  </si>
  <si>
    <t>8/3/2023 2:32:42 PM</t>
  </si>
  <si>
    <t xml:space="preserve">Date: 8/3/2023 2:03:59 PM User: Alex Fare Action: Usage Report |  Date: 8/3/2023 2:23:28 PM User: Alex Fare Action: Searched |  Date: 8/3/2023 2:23:31 PM User: Ryan Bauman Action: Searched |  Date: 8/3/2023 2:24:35 PM User: Alex Fare Action: Searched |  Date: 8/3/2023 2:24:38 PM User: Ryan Bauman Action: Searched |  Date: 8/3/2023 2:32:29 PM User:  Action: Searched |  Date: 8/3/2023 2:32:42 PM User: Ryan Bauman Action: Received In |  Date: 8/3/2023 2:32:44 PM User: Ryan Bauman Action: Searched |  Date: 8/3/2023 2:33:08 PM User: Alex Fare Action: Searched |  Date: 8/3/2023 2:33:11 PM User: Alex Fare Action: Searched |  Date: 8/3/2023 2:33:14 PM User: Alex Fare Action: Searched |  Date: 8/3/2023 2:35:09 PM User: Alex Fare Action: Searched |  Date: 8/3/2023 2:37:17 PM User: Alex Fare Action: Searched |   | Date: 8/3/2023 3:00:36 PM User: Alex Fare Action: Searched |   | Date: 8/4/2023 6:58:49 AM User: Alex Fare Action: Searched |   ||| Date: 8/4/2023 6:59:31 AM User: Alex Fare Action: Searched |||   ||| Date: 8/4/2023 6:59:33 AM User: Alex Fare Action: Searched |||   ||| Date: 8/4/2023 6:59:35 AM User: Alex Fare Action: Searched |||  ||| Date: 8/4/2023 7:00:10 AM User: Alex Fare Action: Searched |||  ||| Date: 8/4/2023 7:12:57 AM User: Alex Fare Action: Searched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</si>
</sst>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8"/>
      <name val="Arial"/>
      <family val="2"/>
    </font>
    <font>
      <b/>
      <sz val="16"/>
      <color theme="1"/>
      <name val="Arial"/>
      <family val="2"/>
    </font>
    <font>
      <b/>
      <sz val="48"/>
      <name val="Arial"/>
      <family val="2"/>
    </font>
    <font>
      <b/>
      <sz val="18"/>
      <color rgb="FF000000"/>
      <name val="Arial"/>
      <family val="2"/>
    </font>
    <font>
      <sz val="16"/>
      <color rgb="FF374151"/>
      <name val="Segoe UI"/>
      <family val="2"/>
    </font>
    <font>
      <sz val="12"/>
      <name val="Arial"/>
      <family val="2"/>
    </font>
    <font>
      <b/>
      <sz val="18"/>
      <color theme="1"/>
      <name val="Arial"/>
      <family val="2"/>
    </font>
    <font>
      <b/>
      <sz val="8"/>
      <name val="Arial"/>
      <family val="2"/>
    </font>
    <font>
      <b/>
      <sz val="32"/>
      <name val="Arial"/>
      <family val="2"/>
    </font>
    <font>
      <sz val="10"/>
      <color rgb="FF000000"/>
      <name val="Arial"/>
      <family val="2"/>
    </font>
    <font>
      <b/>
      <sz val="24"/>
      <name val="Arial"/>
      <family val="2"/>
    </font>
  </fonts>
  <fills count="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6" tint="0.7999816888943144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2">
    <xf numFmtId="0" fontId="0" fillId="0" borderId="0"/>
    <xf numFmtId="0" fontId="3" fillId="0" borderId="0"/>
  </cellStyleXfs>
  <cellXfs count="55">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0" borderId="0" xfId="0" applyFont="1"/>
    <xf numFmtId="0" fontId="1" fillId="0" borderId="1" xfId="0" applyFont="1" applyBorder="1" applyAlignment="1" applyProtection="1">
      <alignment horizontal="center"/>
      <protection locked="0"/>
    </xf>
    <xf numFmtId="14" fontId="1" fillId="0" borderId="1" xfId="0" applyNumberFormat="1" applyFont="1" applyBorder="1" applyAlignment="1">
      <alignment horizontal="center"/>
    </xf>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9" xfId="0" applyNumberFormat="1" applyFont="1" applyBorder="1" applyAlignment="1">
      <alignment horizontal="center" vertical="center"/>
    </xf>
    <xf numFmtId="0" fontId="4" fillId="0" borderId="0" xfId="0" applyFont="1"/>
    <xf numFmtId="0" fontId="9" fillId="2" borderId="1" xfId="0" applyFont="1" applyFill="1" applyBorder="1" applyAlignment="1">
      <alignment horizontal="center" vertical="center"/>
    </xf>
    <xf numFmtId="14" fontId="9" fillId="2" borderId="1" xfId="0" applyNumberFormat="1" applyFont="1" applyFill="1" applyBorder="1" applyAlignment="1">
      <alignment horizontal="center" vertical="center" wrapText="1"/>
    </xf>
    <xf numFmtId="14" fontId="9" fillId="2" borderId="1" xfId="0" applyNumberFormat="1" applyFont="1" applyFill="1" applyBorder="1" applyAlignment="1">
      <alignment horizontal="center" vertical="center"/>
    </xf>
    <xf numFmtId="0" fontId="2" fillId="2" borderId="4" xfId="0" applyFont="1" applyFill="1" applyBorder="1" applyAlignment="1">
      <alignment horizontal="center" vertical="center"/>
    </xf>
    <xf numFmtId="14" fontId="2" fillId="2" borderId="4" xfId="0" applyNumberFormat="1" applyFont="1" applyFill="1" applyBorder="1" applyAlignment="1">
      <alignment horizontal="center" vertical="center"/>
    </xf>
    <xf numFmtId="14" fontId="8" fillId="3" borderId="3" xfId="0" applyNumberFormat="1" applyFont="1" applyFill="1" applyBorder="1" applyAlignment="1">
      <alignment horizontal="center" vertical="center"/>
    </xf>
    <xf numFmtId="0" fontId="1" fillId="3" borderId="1" xfId="0" applyFont="1" applyFill="1" applyBorder="1" applyAlignment="1">
      <alignment horizontal="center"/>
    </xf>
    <xf numFmtId="0" fontId="1" fillId="3" borderId="1" xfId="0" applyFont="1" applyFill="1" applyBorder="1" applyAlignment="1">
      <alignment horizontal="center" vertical="top"/>
    </xf>
    <xf numFmtId="22" fontId="0" fillId="0" borderId="0" xfId="0" applyNumberFormat="1"/>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13" fillId="0" borderId="1" xfId="0" applyFont="1" applyBorder="1" applyAlignment="1">
      <alignment horizontal="center" vertical="center"/>
    </xf>
    <xf numFmtId="0" fontId="14" fillId="2" borderId="1" xfId="0" applyFont="1" applyFill="1" applyBorder="1" applyAlignment="1">
      <alignment horizontal="center" vertical="center"/>
    </xf>
    <xf numFmtId="22" fontId="1" fillId="0" borderId="1" xfId="0" applyNumberFormat="1" applyFont="1" applyBorder="1" applyAlignment="1" applyProtection="1">
      <alignment horizontal="center"/>
      <protection locked="0"/>
    </xf>
    <xf numFmtId="22" fontId="1" fillId="0" borderId="1" xfId="0" applyNumberFormat="1" applyFont="1" applyBorder="1" applyAlignment="1">
      <alignment horizontal="center"/>
    </xf>
    <xf numFmtId="1" fontId="13" fillId="0" borderId="1" xfId="0" applyNumberFormat="1" applyFont="1" applyBorder="1" applyAlignment="1">
      <alignment horizontal="center" vertical="center"/>
    </xf>
    <xf numFmtId="1" fontId="1" fillId="0" borderId="1" xfId="0" applyNumberFormat="1" applyFont="1" applyBorder="1" applyAlignment="1">
      <alignment horizontal="center" vertical="center"/>
    </xf>
    <xf numFmtId="0" fontId="10" fillId="3" borderId="3" xfId="0" applyFont="1" applyFill="1" applyBorder="1" applyAlignment="1">
      <alignment vertical="center"/>
    </xf>
    <xf numFmtId="14" fontId="8" fillId="4" borderId="3" xfId="0" applyNumberFormat="1" applyFont="1" applyFill="1" applyBorder="1" applyAlignment="1">
      <alignment horizontal="center" vertical="center"/>
    </xf>
    <xf numFmtId="0" fontId="15" fillId="4" borderId="3" xfId="0" applyFont="1" applyFill="1" applyBorder="1" applyAlignment="1">
      <alignment horizontal="right"/>
    </xf>
    <xf numFmtId="14" fontId="1" fillId="0" borderId="1" xfId="0" applyNumberFormat="1" applyFont="1" applyBorder="1" applyAlignment="1" applyProtection="1">
      <alignment horizontal="center"/>
      <protection locked="0"/>
    </xf>
    <xf numFmtId="0" fontId="13" fillId="0" borderId="1" xfId="0" applyFont="1" applyBorder="1" applyAlignment="1" applyProtection="1">
      <alignment horizontal="center" vertical="center"/>
      <protection locked="0"/>
    </xf>
    <xf numFmtId="0" fontId="1" fillId="0" borderId="0" xfId="0" applyFont="1" applyAlignment="1">
      <alignment wrapText="1"/>
    </xf>
    <xf numFmtId="0" fontId="0" fillId="0" borderId="0" xfId="0" applyAlignment="1">
      <alignment wrapText="1"/>
    </xf>
    <xf numFmtId="0" fontId="16" fillId="4" borderId="2" xfId="0" applyFont="1" applyFill="1" applyBorder="1" applyAlignment="1">
      <alignment horizontal="left" vertical="center" indent="10"/>
    </xf>
    <xf numFmtId="0" fontId="16" fillId="4" borderId="3" xfId="0" applyFont="1" applyFill="1" applyBorder="1" applyAlignment="1">
      <alignment horizontal="left" vertical="center" indent="10"/>
    </xf>
    <xf numFmtId="0" fontId="1" fillId="0" borderId="0" xfId="0" applyFont="1" applyAlignment="1">
      <alignment horizontal="left" vertical="center"/>
    </xf>
    <xf numFmtId="0" fontId="5" fillId="0" borderId="5" xfId="0" applyFont="1" applyBorder="1" applyAlignment="1">
      <alignment horizontal="right"/>
    </xf>
    <xf numFmtId="0" fontId="5" fillId="0" borderId="6" xfId="0" applyFont="1" applyBorder="1" applyAlignment="1">
      <alignment horizontal="right"/>
    </xf>
    <xf numFmtId="0" fontId="6" fillId="0" borderId="6" xfId="0" applyFont="1" applyBorder="1" applyAlignment="1">
      <alignment horizontal="center" vertical="center"/>
    </xf>
    <xf numFmtId="0" fontId="6" fillId="0" borderId="7" xfId="0" applyFont="1" applyBorder="1" applyAlignment="1">
      <alignment horizontal="center" vertical="center"/>
    </xf>
    <xf numFmtId="0" fontId="5" fillId="0" borderId="8" xfId="0" applyFont="1" applyBorder="1" applyAlignment="1">
      <alignment horizontal="right"/>
    </xf>
    <xf numFmtId="0" fontId="5" fillId="0" borderId="0" xfId="0" applyFont="1" applyAlignment="1">
      <alignment horizontal="right"/>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6" fillId="0" borderId="0" xfId="0" applyFont="1" applyAlignment="1">
      <alignment horizontal="center" vertical="center"/>
    </xf>
    <xf numFmtId="0" fontId="6" fillId="0" borderId="9" xfId="0" applyFont="1" applyBorder="1" applyAlignment="1">
      <alignment horizontal="center" vertical="center"/>
    </xf>
    <xf numFmtId="0" fontId="12" fillId="0" borderId="0" xfId="0" applyFont="1" applyAlignment="1">
      <alignment horizontal="left" vertical="top" wrapText="1"/>
    </xf>
    <xf numFmtId="0" fontId="18" fillId="0" borderId="0" xfId="0" applyFont="1" applyAlignment="1">
      <alignment horizontal="center" vertical="center" wrapText="1"/>
    </xf>
  </cellXfs>
  <cellStyles count="2">
    <cellStyle name="Normal" xfId="0" builtinId="0"/>
    <cellStyle name="Normal 2" xfId="1" xr:uid="{F7660F04-2C7C-4CA9-AC62-8EBFDCE6D3E9}"/>
  </cellStyles>
  <dxfs count="42">
    <dxf>
      <font>
        <color theme="0"/>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2"/>
        <name val="Arial"/>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numFmt numFmtId="1" formatCode="0"/>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numFmt numFmtId="1" formatCode="0"/>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92D050"/>
        </patternFill>
      </fill>
    </dxf>
    <dxf>
      <fill>
        <patternFill>
          <bgColor rgb="FFFF0000"/>
        </patternFill>
      </fill>
    </dxf>
    <dxf>
      <font>
        <color theme="3" tint="0.39994506668294322"/>
      </font>
    </dxf>
  </dxfs>
  <tableStyles count="1" defaultTableStyle="TableStyleMedium2" defaultPivotStyle="PivotStyleLight16">
    <tableStyle name="Table Style 1" pivot="0" count="1" xr9:uid="{00000000-0011-0000-FFFF-FFFF00000000}">
      <tableStyleElement type="headerRow" dxfId="4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17"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0</xdr:row>
          <xdr:rowOff>66675</xdr:rowOff>
        </xdr:from>
        <xdr:to>
          <xdr:col>0</xdr:col>
          <xdr:colOff>838200</xdr:colOff>
          <xdr:row>0</xdr:row>
          <xdr:rowOff>676275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19049</xdr:colOff>
          <xdr:row>0</xdr:row>
          <xdr:rowOff>38101</xdr:rowOff>
        </xdr:from>
        <xdr:to>
          <xdr:col>2</xdr:col>
          <xdr:colOff>581024</xdr:colOff>
          <xdr:row>0</xdr:row>
          <xdr:rowOff>552451</xdr:rowOff>
        </xdr:to>
        <xdr:sp macro="" textlink="">
          <xdr:nvSpPr>
            <xdr:cNvPr id="475137" name="Button 1" hidden="1">
              <a:extLst>
                <a:ext uri="{63B3BB69-23CF-44E3-9099-C40C66FF867C}">
                  <a14:compatExt spid="_x0000_s475137"/>
                </a:ext>
                <a:ext uri="{FF2B5EF4-FFF2-40B4-BE49-F238E27FC236}">
                  <a16:creationId xmlns:a16="http://schemas.microsoft.com/office/drawing/2014/main" id="{00000000-0008-0000-0100-00000140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295275</xdr:colOff>
          <xdr:row>0</xdr:row>
          <xdr:rowOff>133350</xdr:rowOff>
        </xdr:from>
        <xdr:to>
          <xdr:col>8</xdr:col>
          <xdr:colOff>438150</xdr:colOff>
          <xdr:row>4</xdr:row>
          <xdr:rowOff>95250</xdr:rowOff>
        </xdr:to>
        <xdr:sp macro="" textlink="">
          <xdr:nvSpPr>
            <xdr:cNvPr id="473089" name="Button 1" hidden="1">
              <a:extLst>
                <a:ext uri="{63B3BB69-23CF-44E3-9099-C40C66FF867C}">
                  <a14:compatExt spid="_x0000_s473089"/>
                </a:ext>
                <a:ext uri="{FF2B5EF4-FFF2-40B4-BE49-F238E27FC236}">
                  <a16:creationId xmlns:a16="http://schemas.microsoft.com/office/drawing/2014/main" id="{00000000-0008-0000-0400-00000138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Login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6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6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X36" totalsRowShown="0" headerRowDxfId="38" dataDxfId="36" headerRowBorderDxfId="37" tableBorderDxfId="35" totalsRowBorderDxfId="34" dataCellStyle="Normal">
  <autoFilter ref="A2:X36" xr:uid="{00000000-000C-0000-FFFF-FFFF00000000}"/>
  <sortState xmlns:xlrd2="http://schemas.microsoft.com/office/spreadsheetml/2017/richdata2" ref="A3:X4">
    <sortCondition ref="G2:G3"/>
  </sortState>
  <tableColumns count="24">
    <tableColumn id="1" xr3:uid="{00000000-0010-0000-0000-000001000000}" name="Product" dataDxfId="33" dataCellStyle="Normal"/>
    <tableColumn id="2" xr3:uid="{00000000-0010-0000-0000-000002000000}" name="Description" dataDxfId="32" dataCellStyle="Normal"/>
    <tableColumn id="3" xr3:uid="{00000000-0010-0000-0000-000003000000}" name="Inventory" dataDxfId="31" dataCellStyle="Normal"/>
    <tableColumn id="28" xr3:uid="{00000000-0010-0000-0000-00001C000000}" name="On-Order" dataDxfId="30" dataCellStyle="Normal"/>
    <tableColumn id="4" xr3:uid="{00000000-0010-0000-0000-000004000000}" name="Column5" dataDxfId="29" dataCellStyle="Normal"/>
    <tableColumn id="6" xr3:uid="{00000000-0010-0000-0000-000006000000}" name="Column1" dataDxfId="28" dataCellStyle="Normal"/>
    <tableColumn id="13" xr3:uid="{00000000-0010-0000-0000-00000D000000}" name="Column2" dataDxfId="27" dataCellStyle="Normal"/>
    <tableColumn id="14" xr3:uid="{00000000-0010-0000-0000-00000E000000}" name="Column3" dataDxfId="26" dataCellStyle="Normal"/>
    <tableColumn id="15" xr3:uid="{00000000-0010-0000-0000-00000F000000}" name="Column4" dataDxfId="25" dataCellStyle="Normal"/>
    <tableColumn id="26" xr3:uid="{F302B3B8-726D-437B-AE96-924B96DD02A9}" name="Column6" dataDxfId="24" dataCellStyle="Normal"/>
    <tableColumn id="27" xr3:uid="{3A1E958A-2D55-4C38-AA07-147E040F2039}" name="Column7" dataDxfId="23" dataCellStyle="Normal"/>
    <tableColumn id="29" xr3:uid="{3CF72203-9A71-4747-B9BD-0B343E238B2C}" name="Column8" dataDxfId="22" dataCellStyle="Normal"/>
    <tableColumn id="30" xr3:uid="{EFA9826E-E596-491C-8105-9FECD19B415B}" name="Column9" dataDxfId="21" dataCellStyle="Normal"/>
    <tableColumn id="31" xr3:uid="{ACD27D31-BCC1-4277-A69A-FCD29F8E0708}" name="Column10" dataDxfId="20" dataCellStyle="Normal"/>
    <tableColumn id="32" xr3:uid="{6FFC087D-F750-4A9F-A0C4-B07E16ED8562}" name="Column11" dataDxfId="19" dataCellStyle="Normal"/>
    <tableColumn id="33" xr3:uid="{4DE94D4A-66B8-47AB-B341-C2B2252AB00E}" name="Column12" dataDxfId="18" dataCellStyle="Normal"/>
    <tableColumn id="34" xr3:uid="{76D8C600-BCC1-4D14-9315-013D25B69F46}" name="Column13" dataDxfId="17" dataCellStyle="Normal"/>
    <tableColumn id="35" xr3:uid="{D3EC9C14-7821-46E6-850E-0286AFDB0D24}" name="lblUsageReport" dataDxfId="16" dataCellStyle="Normal"/>
    <tableColumn id="36" xr3:uid="{DDBCAFCA-129D-4BF2-B73C-8A83EA0C5490}" name="lblOrderEntry" dataDxfId="15" dataCellStyle="Normal"/>
    <tableColumn id="37" xr3:uid="{2DE193DF-382B-4934-80F9-03B1BB192386}" name="lblReceivedIn" dataDxfId="14" dataCellStyle="Normal"/>
    <tableColumn id="38" xr3:uid="{03B9D41A-44A7-4888-A296-04FBDB05A292}" name="Last Edited" dataDxfId="13" dataCellStyle="Normal"/>
    <tableColumn id="39" xr3:uid="{9E0B8D91-13F8-42E3-8BBD-3B2241BC4C32}" name="Last Searched" dataDxfId="12" dataCellStyle="Normal"/>
    <tableColumn id="40" xr3:uid="{4F35AD6F-9C9B-4E17-BE8B-B0F61729F2DF}" name="Last User" dataDxfId="11" dataCellStyle="Normal"/>
    <tableColumn id="41" xr3:uid="{B36EB548-EE6A-4C73-B269-5F2542373FA9}" name="Attachment" dataDxfId="10" dataCellStyle="Normal"/>
  </tableColumns>
  <tableStyleInfo name="TableStyleLight1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4" totalsRowShown="0" headerRowDxfId="9" dataDxfId="8">
  <autoFilter ref="A1:G4" xr:uid="{5CDBBC90-E356-4AF3-8E2D-746A3FF6ED4F}"/>
  <tableColumns count="7">
    <tableColumn id="1" xr3:uid="{00248448-9583-4BF4-8219-C71E3BF5723A}" name="Username" dataDxfId="7"/>
    <tableColumn id="2" xr3:uid="{E62986C9-719D-4642-8175-2FAE8B4080D1}" name="Password" dataDxfId="6"/>
    <tableColumn id="3" xr3:uid="{32583A32-F66F-4869-A51C-611BC0019ACC}" name="Name" dataDxfId="5"/>
    <tableColumn id="4" xr3:uid="{6A26537B-3C80-40CA-9ABA-26F1F974DFF9}" name="Phone Number" dataDxfId="4"/>
    <tableColumn id="5" xr3:uid="{FB9FAC29-D9B4-44ED-9C2A-8903C5A17DD0}" name="Address" dataDxfId="3"/>
    <tableColumn id="6" xr3:uid="{508FB15F-1DF8-4E79-BB18-F656AA929A24}" name="Job Position" dataDxfId="2"/>
    <tableColumn id="7" xr3:uid="{162140D5-7A7B-4BD5-86DC-5054B0EA286B}" name="Email" dataDxfId="1"/>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N36"/>
  <sheetViews>
    <sheetView showGridLines="0" tabSelected="1" zoomScaleNormal="100" zoomScaleSheetLayoutView="69" workbookViewId="0">
      <pane ySplit="2" topLeftCell="A3" activePane="bottomLeft" state="frozen"/>
      <selection pane="bottomLeft" activeCell="D2" sqref="D2"/>
    </sheetView>
  </sheetViews>
  <sheetFormatPr defaultColWidth="14.5703125" defaultRowHeight="16.350000000000001" customHeight="1" x14ac:dyDescent="0.2"/>
  <cols>
    <col min="1" max="1" width="35.7109375" style="3" customWidth="1"/>
    <col min="2" max="2" width="50.7109375" style="3" customWidth="1"/>
    <col min="3" max="4" width="25.7109375" style="31" customWidth="1"/>
    <col min="5" max="5" width="20.140625" style="26" hidden="1" customWidth="1"/>
    <col min="6" max="6" width="20.42578125" style="21" hidden="1" customWidth="1"/>
    <col min="7" max="7" width="17.7109375" style="21" hidden="1" customWidth="1"/>
    <col min="8" max="8" width="15" style="3" hidden="1" customWidth="1"/>
    <col min="9" max="9" width="20.42578125" style="3" hidden="1" customWidth="1"/>
    <col min="10" max="19" width="14.5703125" style="1" hidden="1" customWidth="1"/>
    <col min="20" max="20" width="14.5703125" style="6" hidden="1" customWidth="1"/>
    <col min="21" max="21" width="15.42578125" style="6" hidden="1" customWidth="1"/>
    <col min="22" max="22" width="25.28515625" style="6" hidden="1" customWidth="1"/>
    <col min="23" max="23" width="14.5703125" style="1" hidden="1" customWidth="1"/>
    <col min="24" max="24" width="18.7109375" style="1" hidden="1" customWidth="1"/>
    <col min="25" max="25" width="125.7109375" style="18" customWidth="1"/>
    <col min="26" max="16384" width="14.5703125" style="1"/>
  </cols>
  <sheetData>
    <row r="1" spans="1:40" ht="60" x14ac:dyDescent="0.2">
      <c r="A1" s="39" t="s">
        <v>138</v>
      </c>
      <c r="B1" s="40"/>
      <c r="C1" s="33">
        <f ca="1">TODAY()</f>
        <v>45142</v>
      </c>
      <c r="D1" s="34" t="s">
        <v>184</v>
      </c>
      <c r="E1" s="32"/>
      <c r="F1" s="32"/>
      <c r="G1" s="32"/>
      <c r="H1" s="32"/>
      <c r="I1" s="17"/>
    </row>
    <row r="2" spans="1:40" s="2" customFormat="1" ht="44.25" customHeight="1" x14ac:dyDescent="0.2">
      <c r="A2" s="27" t="s">
        <v>50</v>
      </c>
      <c r="B2" s="27" t="s">
        <v>0</v>
      </c>
      <c r="C2" s="27" t="s">
        <v>51</v>
      </c>
      <c r="D2" s="27" t="s">
        <v>52</v>
      </c>
      <c r="E2" s="27" t="s">
        <v>4</v>
      </c>
      <c r="F2" s="13" t="s">
        <v>49</v>
      </c>
      <c r="G2" s="14" t="s">
        <v>1</v>
      </c>
      <c r="H2" s="12" t="s">
        <v>2</v>
      </c>
      <c r="I2" s="12" t="s">
        <v>3</v>
      </c>
      <c r="J2" s="15" t="s">
        <v>130</v>
      </c>
      <c r="K2" s="15" t="s">
        <v>131</v>
      </c>
      <c r="L2" s="15" t="s">
        <v>132</v>
      </c>
      <c r="M2" s="15" t="s">
        <v>133</v>
      </c>
      <c r="N2" s="15" t="s">
        <v>134</v>
      </c>
      <c r="O2" s="15" t="s">
        <v>135</v>
      </c>
      <c r="P2" s="15" t="s">
        <v>136</v>
      </c>
      <c r="Q2" s="15" t="s">
        <v>137</v>
      </c>
      <c r="R2" s="15" t="s">
        <v>129</v>
      </c>
      <c r="S2" s="15" t="s">
        <v>128</v>
      </c>
      <c r="T2" s="16" t="s">
        <v>127</v>
      </c>
      <c r="U2" s="16" t="s">
        <v>5</v>
      </c>
      <c r="V2" s="16" t="s">
        <v>6</v>
      </c>
      <c r="W2" s="15" t="s">
        <v>7</v>
      </c>
      <c r="X2" s="15" t="s">
        <v>40</v>
      </c>
      <c r="Y2" s="19"/>
    </row>
    <row r="3" spans="1:40" s="5" customFormat="1" ht="16.350000000000001" customHeight="1" x14ac:dyDescent="0.2">
      <c r="A3" s="26" t="s">
        <v>53</v>
      </c>
      <c r="B3" s="26" t="s">
        <v>54</v>
      </c>
      <c r="C3" s="36">
        <v>1227</v>
      </c>
      <c r="D3" s="26">
        <v>0</v>
      </c>
      <c r="E3" s="26"/>
      <c r="F3" s="25"/>
      <c r="G3" s="25"/>
      <c r="H3" s="24"/>
      <c r="I3" s="24"/>
      <c r="J3" s="24"/>
      <c r="K3" s="24"/>
      <c r="L3" s="24"/>
      <c r="M3" s="24"/>
      <c r="N3" s="24"/>
      <c r="O3" s="24"/>
      <c r="P3" s="24"/>
      <c r="Q3" s="24"/>
      <c r="R3" s="24" t="s">
        <v>183</v>
      </c>
      <c r="S3" s="24" t="s">
        <v>164</v>
      </c>
      <c r="T3" s="25" t="s">
        <v>150</v>
      </c>
      <c r="U3" s="25"/>
      <c r="V3" s="25"/>
      <c r="W3" s="24"/>
      <c r="X3" s="24"/>
      <c r="Y3" s="18"/>
      <c r="AL3" s="35"/>
      <c r="AM3" s="28">
        <v>45142.300659722219</v>
      </c>
      <c r="AN3" s="5" t="s">
        <v>119</v>
      </c>
    </row>
    <row r="4" spans="1:40" ht="16.350000000000001" customHeight="1" x14ac:dyDescent="0.2">
      <c r="A4" s="26" t="s">
        <v>55</v>
      </c>
      <c r="B4" s="26" t="s">
        <v>56</v>
      </c>
      <c r="C4" s="30" t="s">
        <v>175</v>
      </c>
      <c r="D4" s="30">
        <v>0</v>
      </c>
      <c r="F4" s="25"/>
      <c r="G4" s="25"/>
      <c r="H4" s="24"/>
      <c r="I4" s="24"/>
      <c r="J4" s="24"/>
      <c r="K4" s="24"/>
      <c r="L4" s="24"/>
      <c r="M4" s="24"/>
      <c r="N4" s="24"/>
      <c r="O4" s="24"/>
      <c r="P4" s="24"/>
      <c r="Q4" s="24"/>
      <c r="R4" s="24" t="s">
        <v>176</v>
      </c>
      <c r="S4" s="24"/>
      <c r="T4" s="25"/>
      <c r="U4" s="25"/>
      <c r="V4" s="25"/>
      <c r="W4" s="24"/>
      <c r="X4" s="24"/>
      <c r="AM4" s="29">
        <v>45141.606377314813</v>
      </c>
      <c r="AN4" s="1" t="s">
        <v>142</v>
      </c>
    </row>
    <row r="5" spans="1:40" ht="16.350000000000001" customHeight="1" x14ac:dyDescent="0.2">
      <c r="A5" s="26" t="s">
        <v>57</v>
      </c>
      <c r="B5" s="26" t="s">
        <v>58</v>
      </c>
      <c r="C5" s="30" t="s">
        <v>163</v>
      </c>
      <c r="D5" s="30">
        <v>0</v>
      </c>
      <c r="F5" s="25"/>
      <c r="G5" s="25"/>
      <c r="H5" s="24"/>
      <c r="I5" s="24"/>
      <c r="J5" s="24"/>
      <c r="K5" s="24"/>
      <c r="L5" s="24"/>
      <c r="M5" s="24"/>
      <c r="N5" s="24"/>
      <c r="O5" s="24"/>
      <c r="P5" s="24"/>
      <c r="Q5" s="24"/>
      <c r="R5" s="24"/>
      <c r="S5" s="24" t="s">
        <v>165</v>
      </c>
      <c r="T5" s="25"/>
      <c r="U5" s="25"/>
      <c r="V5" s="25"/>
      <c r="W5" s="24"/>
      <c r="X5" s="24"/>
      <c r="AM5" s="29">
        <v>45142.290844907409</v>
      </c>
      <c r="AN5" s="1" t="s">
        <v>119</v>
      </c>
    </row>
    <row r="6" spans="1:40" ht="16.350000000000001" customHeight="1" x14ac:dyDescent="0.2">
      <c r="A6" s="26" t="s">
        <v>59</v>
      </c>
      <c r="B6" s="26" t="s">
        <v>60</v>
      </c>
      <c r="C6" s="30">
        <v>989</v>
      </c>
      <c r="D6" s="30">
        <v>0</v>
      </c>
      <c r="F6" s="25"/>
      <c r="G6" s="25"/>
      <c r="H6" s="24"/>
      <c r="I6" s="24"/>
      <c r="J6" s="24"/>
      <c r="K6" s="24"/>
      <c r="L6" s="24"/>
      <c r="M6" s="24"/>
      <c r="N6" s="24"/>
      <c r="O6" s="24"/>
      <c r="P6" s="24"/>
      <c r="Q6" s="24"/>
      <c r="R6" s="24"/>
      <c r="S6" s="24"/>
      <c r="T6" s="25"/>
      <c r="U6" s="25"/>
      <c r="V6" s="25"/>
      <c r="W6" s="24"/>
      <c r="X6" s="24"/>
      <c r="AM6" s="29">
        <v>45141.606412037036</v>
      </c>
    </row>
    <row r="7" spans="1:40" ht="16.350000000000001" customHeight="1" x14ac:dyDescent="0.2">
      <c r="A7" s="26" t="s">
        <v>61</v>
      </c>
      <c r="B7" s="26" t="s">
        <v>62</v>
      </c>
      <c r="C7" s="30" t="s">
        <v>177</v>
      </c>
      <c r="D7" s="30">
        <v>0</v>
      </c>
      <c r="F7" s="25"/>
      <c r="G7" s="25"/>
      <c r="H7" s="24"/>
      <c r="I7" s="24"/>
      <c r="J7" s="24"/>
      <c r="K7" s="24"/>
      <c r="L7" s="24"/>
      <c r="M7" s="24"/>
      <c r="N7" s="24"/>
      <c r="O7" s="24"/>
      <c r="P7" s="24"/>
      <c r="Q7" s="24"/>
      <c r="R7" s="24" t="s">
        <v>178</v>
      </c>
      <c r="S7" s="24"/>
      <c r="T7" s="25"/>
      <c r="U7" s="25"/>
      <c r="V7" s="25"/>
      <c r="W7" s="24"/>
      <c r="X7" s="24"/>
      <c r="AM7" s="29">
        <v>45133.537060185183</v>
      </c>
      <c r="AN7" s="1" t="s">
        <v>142</v>
      </c>
    </row>
    <row r="8" spans="1:40" ht="16.350000000000001" customHeight="1" x14ac:dyDescent="0.2">
      <c r="A8" s="26" t="s">
        <v>63</v>
      </c>
      <c r="B8" s="26" t="s">
        <v>64</v>
      </c>
      <c r="C8" s="30">
        <v>1034</v>
      </c>
      <c r="D8" s="30">
        <v>0</v>
      </c>
      <c r="F8" s="25"/>
      <c r="G8" s="25"/>
      <c r="H8" s="24"/>
      <c r="I8" s="24"/>
      <c r="J8" s="24"/>
      <c r="K8" s="24"/>
      <c r="L8" s="24"/>
      <c r="M8" s="24"/>
      <c r="N8" s="24"/>
      <c r="O8" s="24"/>
      <c r="P8" s="24"/>
      <c r="Q8" s="24"/>
      <c r="R8" s="24"/>
      <c r="S8" s="24"/>
      <c r="T8" s="25"/>
      <c r="U8" s="25"/>
      <c r="V8" s="25"/>
      <c r="W8" s="24"/>
      <c r="X8" s="24"/>
    </row>
    <row r="9" spans="1:40" ht="16.350000000000001" customHeight="1" x14ac:dyDescent="0.2">
      <c r="A9" s="26" t="s">
        <v>65</v>
      </c>
      <c r="B9" s="26" t="s">
        <v>66</v>
      </c>
      <c r="C9" s="30">
        <v>750</v>
      </c>
      <c r="D9" s="30">
        <v>0</v>
      </c>
      <c r="F9" s="25"/>
      <c r="G9" s="25"/>
      <c r="H9" s="24"/>
      <c r="I9" s="24"/>
      <c r="J9" s="24"/>
      <c r="K9" s="24"/>
      <c r="L9" s="24"/>
      <c r="M9" s="24"/>
      <c r="N9" s="24"/>
      <c r="O9" s="24"/>
      <c r="P9" s="24"/>
      <c r="Q9" s="24"/>
      <c r="R9" s="24"/>
      <c r="S9" s="24"/>
      <c r="T9" s="25"/>
      <c r="U9" s="25"/>
      <c r="V9" s="25"/>
      <c r="W9" s="24"/>
      <c r="X9" s="24"/>
      <c r="AM9" s="29">
        <v>45141.605219907404</v>
      </c>
    </row>
    <row r="10" spans="1:40" ht="16.350000000000001" customHeight="1" x14ac:dyDescent="0.2">
      <c r="A10" s="26" t="s">
        <v>67</v>
      </c>
      <c r="B10" s="26" t="s">
        <v>68</v>
      </c>
      <c r="C10" s="30" t="s">
        <v>169</v>
      </c>
      <c r="D10" s="30">
        <v>0</v>
      </c>
      <c r="F10" s="25"/>
      <c r="G10" s="25"/>
      <c r="H10" s="24"/>
      <c r="I10" s="24"/>
      <c r="J10" s="24"/>
      <c r="K10" s="24"/>
      <c r="L10" s="24"/>
      <c r="M10" s="24"/>
      <c r="N10" s="24"/>
      <c r="O10" s="24"/>
      <c r="P10" s="24"/>
      <c r="Q10" s="24"/>
      <c r="R10" s="24" t="s">
        <v>170</v>
      </c>
      <c r="S10" s="24" t="s">
        <v>140</v>
      </c>
      <c r="T10" s="25" t="s">
        <v>151</v>
      </c>
      <c r="U10" s="25"/>
      <c r="V10" s="25"/>
      <c r="W10" s="24"/>
      <c r="X10" s="24"/>
      <c r="AM10" s="29">
        <v>45127.591782407406</v>
      </c>
      <c r="AN10" s="1" t="s">
        <v>142</v>
      </c>
    </row>
    <row r="11" spans="1:40" ht="16.350000000000001" customHeight="1" x14ac:dyDescent="0.2">
      <c r="A11" s="26" t="s">
        <v>69</v>
      </c>
      <c r="B11" s="26" t="s">
        <v>70</v>
      </c>
      <c r="C11" s="30">
        <v>775</v>
      </c>
      <c r="D11" s="30">
        <v>0</v>
      </c>
      <c r="F11" s="25"/>
      <c r="G11" s="25"/>
      <c r="H11" s="24"/>
      <c r="I11" s="24"/>
      <c r="J11" s="24"/>
      <c r="K11" s="24"/>
      <c r="L11" s="24"/>
      <c r="M11" s="24"/>
      <c r="N11" s="24"/>
      <c r="O11" s="24"/>
      <c r="P11" s="24"/>
      <c r="Q11" s="24"/>
      <c r="R11" s="24"/>
      <c r="S11" s="24"/>
      <c r="T11" s="25"/>
      <c r="U11" s="25"/>
      <c r="V11" s="25"/>
      <c r="W11" s="24"/>
      <c r="X11" s="24"/>
    </row>
    <row r="12" spans="1:40" ht="16.350000000000001" customHeight="1" x14ac:dyDescent="0.2">
      <c r="A12" s="26" t="s">
        <v>71</v>
      </c>
      <c r="B12" s="26" t="s">
        <v>72</v>
      </c>
      <c r="C12" s="30" t="s">
        <v>159</v>
      </c>
      <c r="D12" s="30">
        <v>0</v>
      </c>
      <c r="F12" s="25"/>
      <c r="G12" s="25"/>
      <c r="H12" s="24"/>
      <c r="I12" s="24"/>
      <c r="J12" s="24"/>
      <c r="K12" s="24"/>
      <c r="L12" s="24"/>
      <c r="M12" s="24"/>
      <c r="N12" s="24"/>
      <c r="O12" s="24"/>
      <c r="P12" s="24"/>
      <c r="Q12" s="24"/>
      <c r="R12" s="24" t="s">
        <v>160</v>
      </c>
      <c r="S12" s="24"/>
      <c r="T12" s="25"/>
      <c r="U12" s="25"/>
      <c r="V12" s="25"/>
      <c r="W12" s="24"/>
      <c r="X12" s="24"/>
      <c r="AM12" s="29">
        <v>45120.342118055552</v>
      </c>
      <c r="AN12" s="1" t="s">
        <v>142</v>
      </c>
    </row>
    <row r="13" spans="1:40" ht="16.350000000000001" customHeight="1" x14ac:dyDescent="0.2">
      <c r="A13" s="26" t="s">
        <v>73</v>
      </c>
      <c r="B13" s="26" t="s">
        <v>74</v>
      </c>
      <c r="C13" s="30" t="s">
        <v>161</v>
      </c>
      <c r="D13" s="30">
        <v>0</v>
      </c>
      <c r="F13" s="25"/>
      <c r="G13" s="25"/>
      <c r="H13" s="24"/>
      <c r="I13" s="24"/>
      <c r="J13" s="24"/>
      <c r="K13" s="24"/>
      <c r="L13" s="24"/>
      <c r="M13" s="24"/>
      <c r="N13" s="24"/>
      <c r="O13" s="24"/>
      <c r="P13" s="24"/>
      <c r="Q13" s="24"/>
      <c r="R13" s="24"/>
      <c r="S13" s="24" t="s">
        <v>139</v>
      </c>
      <c r="T13" s="25" t="s">
        <v>162</v>
      </c>
      <c r="U13" s="25"/>
      <c r="V13" s="25"/>
      <c r="W13" s="24"/>
      <c r="X13" s="24"/>
      <c r="AM13" s="29">
        <v>45121.345486111109</v>
      </c>
      <c r="AN13" s="1" t="s">
        <v>142</v>
      </c>
    </row>
    <row r="14" spans="1:40" ht="16.350000000000001" customHeight="1" x14ac:dyDescent="0.2">
      <c r="A14" s="26" t="s">
        <v>75</v>
      </c>
      <c r="B14" s="26" t="s">
        <v>76</v>
      </c>
      <c r="C14" s="30">
        <v>1066</v>
      </c>
      <c r="D14" s="30">
        <v>0</v>
      </c>
      <c r="F14" s="25"/>
      <c r="G14" s="25"/>
      <c r="H14" s="24"/>
      <c r="I14" s="24"/>
      <c r="J14" s="24"/>
      <c r="K14" s="24"/>
      <c r="L14" s="24"/>
      <c r="M14" s="24"/>
      <c r="N14" s="24"/>
      <c r="O14" s="24"/>
      <c r="P14" s="24"/>
      <c r="Q14" s="24"/>
      <c r="R14" s="24"/>
      <c r="S14" s="24"/>
      <c r="T14" s="25"/>
      <c r="U14" s="25"/>
      <c r="V14" s="25"/>
      <c r="W14" s="24"/>
      <c r="X14" s="24"/>
      <c r="AM14" s="29">
        <v>45117.556481481479</v>
      </c>
    </row>
    <row r="15" spans="1:40" ht="16.350000000000001" customHeight="1" x14ac:dyDescent="0.2">
      <c r="A15" s="26" t="s">
        <v>77</v>
      </c>
      <c r="B15" s="26" t="s">
        <v>78</v>
      </c>
      <c r="C15" s="30">
        <v>466</v>
      </c>
      <c r="D15" s="30">
        <v>0</v>
      </c>
      <c r="F15" s="25"/>
      <c r="G15" s="25"/>
      <c r="H15" s="24"/>
      <c r="I15" s="24"/>
      <c r="J15" s="24"/>
      <c r="K15" s="24"/>
      <c r="L15" s="24"/>
      <c r="M15" s="24"/>
      <c r="N15" s="24"/>
      <c r="O15" s="24"/>
      <c r="P15" s="24"/>
      <c r="Q15" s="24"/>
      <c r="R15" s="24"/>
      <c r="S15" s="24"/>
      <c r="T15" s="25"/>
      <c r="U15" s="25"/>
      <c r="V15" s="25"/>
      <c r="W15" s="24"/>
      <c r="X15" s="24"/>
    </row>
    <row r="16" spans="1:40" ht="16.350000000000001" customHeight="1" x14ac:dyDescent="0.2">
      <c r="A16" s="26" t="s">
        <v>79</v>
      </c>
      <c r="B16" s="26" t="s">
        <v>80</v>
      </c>
      <c r="C16" s="30" t="s">
        <v>166</v>
      </c>
      <c r="D16" s="30" t="s">
        <v>167</v>
      </c>
      <c r="F16" s="25"/>
      <c r="G16" s="25"/>
      <c r="H16" s="24"/>
      <c r="I16" s="24"/>
      <c r="J16" s="24"/>
      <c r="K16" s="24"/>
      <c r="L16" s="24"/>
      <c r="M16" s="24"/>
      <c r="N16" s="24"/>
      <c r="O16" s="24"/>
      <c r="P16" s="24"/>
      <c r="Q16" s="24"/>
      <c r="R16" s="24"/>
      <c r="S16" s="24" t="s">
        <v>141</v>
      </c>
      <c r="T16" s="25" t="s">
        <v>168</v>
      </c>
      <c r="U16" s="25"/>
      <c r="V16" s="25"/>
      <c r="W16" s="24"/>
      <c r="X16" s="24"/>
      <c r="AM16" s="29">
        <v>45141.605254629627</v>
      </c>
      <c r="AN16" s="1" t="s">
        <v>142</v>
      </c>
    </row>
    <row r="17" spans="1:40" ht="16.350000000000001" customHeight="1" x14ac:dyDescent="0.2">
      <c r="A17" s="26" t="s">
        <v>81</v>
      </c>
      <c r="B17" s="26" t="s">
        <v>82</v>
      </c>
      <c r="C17" s="30">
        <v>535</v>
      </c>
      <c r="D17" s="30">
        <v>0</v>
      </c>
      <c r="F17" s="25"/>
      <c r="G17" s="25"/>
      <c r="H17" s="24"/>
      <c r="I17" s="24"/>
      <c r="J17" s="24"/>
      <c r="K17" s="24"/>
      <c r="L17" s="24"/>
      <c r="M17" s="24"/>
      <c r="N17" s="24"/>
      <c r="O17" s="24"/>
      <c r="P17" s="24"/>
      <c r="Q17" s="24"/>
      <c r="R17" s="24"/>
      <c r="S17" s="24"/>
      <c r="T17" s="25"/>
      <c r="U17" s="25"/>
      <c r="V17" s="25"/>
      <c r="W17" s="24"/>
      <c r="X17" s="24"/>
    </row>
    <row r="18" spans="1:40" ht="16.350000000000001" customHeight="1" x14ac:dyDescent="0.2">
      <c r="A18" s="26" t="s">
        <v>83</v>
      </c>
      <c r="B18" s="26" t="s">
        <v>84</v>
      </c>
      <c r="C18" s="30">
        <v>1592</v>
      </c>
      <c r="D18" s="30">
        <v>0</v>
      </c>
      <c r="F18" s="25"/>
      <c r="G18" s="25"/>
      <c r="H18" s="24"/>
      <c r="I18" s="24"/>
      <c r="J18" s="24"/>
      <c r="K18" s="24"/>
      <c r="L18" s="24"/>
      <c r="M18" s="24"/>
      <c r="N18" s="24"/>
      <c r="O18" s="24"/>
      <c r="P18" s="24"/>
      <c r="Q18" s="24"/>
      <c r="R18" s="24"/>
      <c r="S18" s="24"/>
      <c r="T18" s="25"/>
      <c r="U18" s="25"/>
      <c r="V18" s="25"/>
      <c r="W18" s="24"/>
      <c r="X18" s="24"/>
    </row>
    <row r="19" spans="1:40" ht="16.350000000000001" customHeight="1" x14ac:dyDescent="0.2">
      <c r="A19" s="26" t="s">
        <v>85</v>
      </c>
      <c r="B19" s="26" t="s">
        <v>86</v>
      </c>
      <c r="C19" s="30">
        <v>1792</v>
      </c>
      <c r="D19" s="30">
        <v>0</v>
      </c>
      <c r="F19" s="25"/>
      <c r="G19" s="25"/>
      <c r="H19" s="24"/>
      <c r="I19" s="24"/>
      <c r="J19" s="24"/>
      <c r="K19" s="24"/>
      <c r="L19" s="24"/>
      <c r="M19" s="24"/>
      <c r="N19" s="24"/>
      <c r="O19" s="24"/>
      <c r="P19" s="24"/>
      <c r="Q19" s="24"/>
      <c r="R19" s="24"/>
      <c r="S19" s="24"/>
      <c r="T19" s="25"/>
      <c r="U19" s="25"/>
      <c r="V19" s="25"/>
      <c r="W19" s="24"/>
      <c r="X19" s="24"/>
    </row>
    <row r="20" spans="1:40" ht="16.350000000000001" customHeight="1" x14ac:dyDescent="0.2">
      <c r="A20" s="26" t="s">
        <v>87</v>
      </c>
      <c r="B20" s="26" t="s">
        <v>88</v>
      </c>
      <c r="C20" s="30">
        <v>1300</v>
      </c>
      <c r="D20" s="30">
        <v>0</v>
      </c>
      <c r="F20" s="25"/>
      <c r="G20" s="25"/>
      <c r="H20" s="24"/>
      <c r="I20" s="24"/>
      <c r="J20" s="24"/>
      <c r="K20" s="24"/>
      <c r="L20" s="24"/>
      <c r="M20" s="24"/>
      <c r="N20" s="24"/>
      <c r="O20" s="24"/>
      <c r="P20" s="24"/>
      <c r="Q20" s="24"/>
      <c r="R20" s="24"/>
      <c r="S20" s="24"/>
      <c r="T20" s="25"/>
      <c r="U20" s="25"/>
      <c r="V20" s="25"/>
      <c r="W20" s="24"/>
      <c r="X20" s="24"/>
    </row>
    <row r="21" spans="1:40" ht="16.350000000000001" customHeight="1" x14ac:dyDescent="0.2">
      <c r="A21" s="26" t="s">
        <v>89</v>
      </c>
      <c r="B21" s="26" t="s">
        <v>90</v>
      </c>
      <c r="C21" s="30" t="s">
        <v>155</v>
      </c>
      <c r="D21" s="30" t="s">
        <v>149</v>
      </c>
      <c r="F21" s="25"/>
      <c r="G21" s="25"/>
      <c r="H21" s="24"/>
      <c r="I21" s="24"/>
      <c r="J21" s="24"/>
      <c r="K21" s="24"/>
      <c r="L21" s="24"/>
      <c r="M21" s="24"/>
      <c r="N21" s="24"/>
      <c r="O21" s="24"/>
      <c r="P21" s="24"/>
      <c r="Q21" s="24"/>
      <c r="R21" s="24" t="s">
        <v>156</v>
      </c>
      <c r="S21" s="24" t="s">
        <v>144</v>
      </c>
      <c r="T21" s="25" t="s">
        <v>154</v>
      </c>
      <c r="U21" s="25"/>
      <c r="V21" s="25"/>
      <c r="W21" s="24"/>
      <c r="X21" s="24"/>
      <c r="AM21" s="29">
        <v>45141.607743055552</v>
      </c>
      <c r="AN21" s="1" t="s">
        <v>142</v>
      </c>
    </row>
    <row r="22" spans="1:40" ht="16.350000000000001" customHeight="1" x14ac:dyDescent="0.2">
      <c r="A22" s="26" t="s">
        <v>91</v>
      </c>
      <c r="B22" s="26" t="s">
        <v>92</v>
      </c>
      <c r="C22" s="30" t="s">
        <v>185</v>
      </c>
      <c r="D22" s="30" t="s">
        <v>149</v>
      </c>
      <c r="F22" s="25"/>
      <c r="G22" s="25"/>
      <c r="H22" s="24"/>
      <c r="I22" s="24"/>
      <c r="J22" s="24"/>
      <c r="K22" s="24"/>
      <c r="L22" s="24"/>
      <c r="M22" s="24"/>
      <c r="N22" s="24"/>
      <c r="O22" s="24"/>
      <c r="P22" s="24"/>
      <c r="Q22" s="24"/>
      <c r="R22" s="24" t="s">
        <v>158</v>
      </c>
      <c r="S22" s="24" t="s">
        <v>148</v>
      </c>
      <c r="T22" s="25" t="s">
        <v>186</v>
      </c>
      <c r="U22" s="25"/>
      <c r="V22" s="25"/>
      <c r="W22" s="24"/>
      <c r="X22" s="24"/>
      <c r="AM22" s="29">
        <v>45141.606064814812</v>
      </c>
      <c r="AN22" s="1" t="s">
        <v>142</v>
      </c>
    </row>
    <row r="23" spans="1:40" ht="16.350000000000001" customHeight="1" x14ac:dyDescent="0.2">
      <c r="A23" s="26" t="s">
        <v>93</v>
      </c>
      <c r="B23" s="26" t="s">
        <v>94</v>
      </c>
      <c r="C23" s="30" t="s">
        <v>147</v>
      </c>
      <c r="D23" s="30" t="s">
        <v>145</v>
      </c>
      <c r="F23" s="25"/>
      <c r="G23" s="25"/>
      <c r="H23" s="24"/>
      <c r="I23" s="24"/>
      <c r="J23" s="24"/>
      <c r="K23" s="24"/>
      <c r="L23" s="24"/>
      <c r="M23" s="24"/>
      <c r="N23" s="24"/>
      <c r="O23" s="24"/>
      <c r="P23" s="24"/>
      <c r="Q23" s="24"/>
      <c r="R23" s="24" t="s">
        <v>157</v>
      </c>
      <c r="S23" s="24" t="s">
        <v>146</v>
      </c>
      <c r="T23" s="25"/>
      <c r="U23" s="25"/>
      <c r="V23" s="25"/>
      <c r="W23" s="24"/>
      <c r="X23" s="24"/>
      <c r="AM23" s="29">
        <v>45120.341261574074</v>
      </c>
      <c r="AN23" s="1" t="s">
        <v>142</v>
      </c>
    </row>
    <row r="24" spans="1:40" ht="16.350000000000001" customHeight="1" x14ac:dyDescent="0.2">
      <c r="A24" s="26" t="s">
        <v>95</v>
      </c>
      <c r="B24" s="26" t="s">
        <v>96</v>
      </c>
      <c r="C24" s="30">
        <v>750</v>
      </c>
      <c r="D24" s="30">
        <v>0</v>
      </c>
      <c r="F24" s="25"/>
      <c r="G24" s="25"/>
      <c r="H24" s="24"/>
      <c r="I24" s="24"/>
      <c r="J24" s="24"/>
      <c r="K24" s="24"/>
      <c r="L24" s="24"/>
      <c r="M24" s="24"/>
      <c r="N24" s="24"/>
      <c r="O24" s="24"/>
      <c r="P24" s="24"/>
      <c r="Q24" s="24"/>
      <c r="R24" s="24"/>
      <c r="S24" s="24"/>
      <c r="T24" s="25"/>
      <c r="U24" s="25"/>
      <c r="V24" s="25"/>
      <c r="W24" s="24"/>
      <c r="X24" s="24"/>
    </row>
    <row r="25" spans="1:40" ht="16.350000000000001" customHeight="1" x14ac:dyDescent="0.2">
      <c r="A25" s="26" t="s">
        <v>97</v>
      </c>
      <c r="B25" s="26" t="s">
        <v>98</v>
      </c>
      <c r="C25" s="30">
        <v>715</v>
      </c>
      <c r="D25" s="30">
        <v>0</v>
      </c>
      <c r="F25" s="25"/>
      <c r="G25" s="25"/>
      <c r="H25" s="24"/>
      <c r="I25" s="24"/>
      <c r="J25" s="24"/>
      <c r="K25" s="24"/>
      <c r="L25" s="24"/>
      <c r="M25" s="24"/>
      <c r="N25" s="24"/>
      <c r="O25" s="24"/>
      <c r="P25" s="24"/>
      <c r="Q25" s="24"/>
      <c r="R25" s="24"/>
      <c r="S25" s="24"/>
      <c r="T25" s="25"/>
      <c r="U25" s="25"/>
      <c r="V25" s="25"/>
      <c r="W25" s="24"/>
      <c r="X25" s="24"/>
    </row>
    <row r="26" spans="1:40" ht="16.350000000000001" customHeight="1" x14ac:dyDescent="0.2">
      <c r="A26" s="26" t="s">
        <v>99</v>
      </c>
      <c r="B26" s="26" t="s">
        <v>100</v>
      </c>
      <c r="C26" s="30">
        <v>480</v>
      </c>
      <c r="D26" s="30">
        <v>0</v>
      </c>
      <c r="F26" s="25"/>
      <c r="G26" s="25"/>
      <c r="H26" s="24"/>
      <c r="I26" s="24"/>
      <c r="J26" s="24"/>
      <c r="K26" s="24"/>
      <c r="L26" s="24"/>
      <c r="M26" s="24"/>
      <c r="N26" s="24"/>
      <c r="O26" s="24"/>
      <c r="P26" s="24"/>
      <c r="Q26" s="24"/>
      <c r="R26" s="24"/>
      <c r="S26" s="24"/>
      <c r="T26" s="25"/>
      <c r="U26" s="25"/>
      <c r="V26" s="25"/>
      <c r="W26" s="24"/>
      <c r="X26" s="24"/>
    </row>
    <row r="27" spans="1:40" ht="16.350000000000001" customHeight="1" x14ac:dyDescent="0.2">
      <c r="A27" s="26" t="s">
        <v>101</v>
      </c>
      <c r="B27" s="26" t="s">
        <v>102</v>
      </c>
      <c r="C27" s="30">
        <v>488</v>
      </c>
      <c r="D27" s="30">
        <v>0</v>
      </c>
      <c r="F27" s="25"/>
      <c r="G27" s="25"/>
      <c r="H27" s="24"/>
      <c r="I27" s="24"/>
      <c r="J27" s="24"/>
      <c r="K27" s="24"/>
      <c r="L27" s="24"/>
      <c r="M27" s="24"/>
      <c r="N27" s="24"/>
      <c r="O27" s="24"/>
      <c r="P27" s="24"/>
      <c r="Q27" s="24"/>
      <c r="R27" s="24"/>
      <c r="S27" s="24"/>
      <c r="T27" s="25"/>
      <c r="U27" s="25"/>
      <c r="V27" s="25"/>
      <c r="W27" s="24"/>
      <c r="X27" s="24"/>
    </row>
    <row r="28" spans="1:40" ht="16.350000000000001" customHeight="1" x14ac:dyDescent="0.2">
      <c r="A28" s="26" t="s">
        <v>103</v>
      </c>
      <c r="B28" s="26" t="s">
        <v>104</v>
      </c>
      <c r="C28" s="30" t="s">
        <v>171</v>
      </c>
      <c r="D28" s="30">
        <v>0</v>
      </c>
      <c r="F28" s="25"/>
      <c r="G28" s="25"/>
      <c r="H28" s="24"/>
      <c r="I28" s="24"/>
      <c r="J28" s="24"/>
      <c r="K28" s="24"/>
      <c r="L28" s="24"/>
      <c r="M28" s="24"/>
      <c r="N28" s="24"/>
      <c r="O28" s="24"/>
      <c r="P28" s="24"/>
      <c r="Q28" s="24"/>
      <c r="R28" s="24" t="s">
        <v>172</v>
      </c>
      <c r="S28" s="24"/>
      <c r="T28" s="25"/>
      <c r="U28" s="25"/>
      <c r="V28" s="25"/>
      <c r="W28" s="24"/>
      <c r="X28" s="24"/>
      <c r="AM28" s="29">
        <v>45127.592210648145</v>
      </c>
      <c r="AN28" s="1" t="s">
        <v>142</v>
      </c>
    </row>
    <row r="29" spans="1:40" ht="16.350000000000001" customHeight="1" x14ac:dyDescent="0.2">
      <c r="A29" s="26" t="s">
        <v>105</v>
      </c>
      <c r="B29" s="26" t="s">
        <v>105</v>
      </c>
      <c r="C29" s="30" t="s">
        <v>152</v>
      </c>
      <c r="D29" s="30">
        <v>0</v>
      </c>
      <c r="F29" s="25"/>
      <c r="G29" s="25"/>
      <c r="H29" s="24"/>
      <c r="I29" s="24"/>
      <c r="J29" s="24"/>
      <c r="K29" s="24"/>
      <c r="L29" s="24"/>
      <c r="M29" s="24"/>
      <c r="N29" s="24"/>
      <c r="O29" s="24"/>
      <c r="P29" s="24"/>
      <c r="Q29" s="24"/>
      <c r="R29" s="24"/>
      <c r="S29" s="24" t="s">
        <v>143</v>
      </c>
      <c r="T29" s="25" t="s">
        <v>153</v>
      </c>
      <c r="U29" s="25"/>
      <c r="V29" s="25"/>
      <c r="W29" s="24"/>
      <c r="X29" s="24"/>
      <c r="AM29" s="29">
        <v>45118.352025462962</v>
      </c>
      <c r="AN29" s="1" t="s">
        <v>142</v>
      </c>
    </row>
    <row r="30" spans="1:40" ht="16.350000000000001" customHeight="1" x14ac:dyDescent="0.2">
      <c r="A30" s="26" t="s">
        <v>106</v>
      </c>
      <c r="B30" s="26" t="s">
        <v>107</v>
      </c>
      <c r="C30" s="30">
        <v>875</v>
      </c>
      <c r="D30" s="30">
        <v>0</v>
      </c>
      <c r="F30" s="25"/>
      <c r="G30" s="25"/>
      <c r="H30" s="24"/>
      <c r="I30" s="24"/>
      <c r="J30" s="24"/>
      <c r="K30" s="24"/>
      <c r="L30" s="24"/>
      <c r="M30" s="24"/>
      <c r="N30" s="24"/>
      <c r="O30" s="24"/>
      <c r="P30" s="24"/>
      <c r="Q30" s="24"/>
      <c r="R30" s="24"/>
      <c r="S30" s="24"/>
      <c r="T30" s="25"/>
      <c r="U30" s="25"/>
      <c r="V30" s="25"/>
      <c r="W30" s="24"/>
      <c r="X30" s="24"/>
    </row>
    <row r="31" spans="1:40" ht="16.350000000000001" customHeight="1" x14ac:dyDescent="0.2">
      <c r="A31" s="26" t="s">
        <v>108</v>
      </c>
      <c r="B31" s="26" t="s">
        <v>109</v>
      </c>
      <c r="C31" s="30">
        <v>607</v>
      </c>
      <c r="D31" s="30">
        <v>0</v>
      </c>
      <c r="F31" s="25"/>
      <c r="G31" s="25"/>
      <c r="H31" s="24"/>
      <c r="I31" s="24"/>
      <c r="J31" s="24"/>
      <c r="K31" s="24"/>
      <c r="L31" s="24"/>
      <c r="M31" s="24"/>
      <c r="N31" s="24"/>
      <c r="O31" s="24"/>
      <c r="P31" s="24"/>
      <c r="Q31" s="24"/>
      <c r="R31" s="24"/>
      <c r="S31" s="24"/>
      <c r="T31" s="25"/>
      <c r="U31" s="25"/>
      <c r="V31" s="25"/>
      <c r="W31" s="24"/>
      <c r="X31" s="24"/>
    </row>
    <row r="32" spans="1:40" ht="16.350000000000001" customHeight="1" x14ac:dyDescent="0.2">
      <c r="A32" s="26" t="s">
        <v>110</v>
      </c>
      <c r="B32" s="26" t="s">
        <v>111</v>
      </c>
      <c r="C32" s="30">
        <v>1800</v>
      </c>
      <c r="D32" s="30">
        <v>0</v>
      </c>
      <c r="F32" s="25"/>
      <c r="G32" s="25"/>
      <c r="H32" s="24"/>
      <c r="I32" s="24"/>
      <c r="J32" s="24"/>
      <c r="K32" s="24"/>
      <c r="L32" s="24"/>
      <c r="M32" s="24"/>
      <c r="N32" s="24"/>
      <c r="O32" s="24"/>
      <c r="P32" s="24"/>
      <c r="Q32" s="24"/>
      <c r="R32" s="24"/>
      <c r="S32" s="24"/>
      <c r="T32" s="25"/>
      <c r="U32" s="25"/>
      <c r="V32" s="25"/>
      <c r="W32" s="24"/>
      <c r="X32" s="24"/>
    </row>
    <row r="33" spans="1:40" ht="16.350000000000001" customHeight="1" x14ac:dyDescent="0.2">
      <c r="A33" s="26" t="s">
        <v>112</v>
      </c>
      <c r="B33" s="26" t="s">
        <v>113</v>
      </c>
      <c r="C33" s="30">
        <v>400</v>
      </c>
      <c r="D33" s="30">
        <v>0</v>
      </c>
      <c r="F33" s="25"/>
      <c r="G33" s="25"/>
      <c r="H33" s="24"/>
      <c r="I33" s="24"/>
      <c r="J33" s="24"/>
      <c r="K33" s="24"/>
      <c r="L33" s="24"/>
      <c r="M33" s="24"/>
      <c r="N33" s="24"/>
      <c r="O33" s="24"/>
      <c r="P33" s="24"/>
      <c r="Q33" s="24"/>
      <c r="R33" s="24"/>
      <c r="S33" s="24"/>
      <c r="T33" s="25"/>
      <c r="U33" s="25"/>
      <c r="V33" s="25"/>
      <c r="W33" s="24"/>
      <c r="X33" s="24"/>
    </row>
    <row r="34" spans="1:40" ht="16.350000000000001" customHeight="1" x14ac:dyDescent="0.2">
      <c r="A34" s="26" t="s">
        <v>114</v>
      </c>
      <c r="B34" s="26" t="s">
        <v>115</v>
      </c>
      <c r="C34" s="30" t="s">
        <v>179</v>
      </c>
      <c r="D34" s="30" t="s">
        <v>180</v>
      </c>
      <c r="F34" s="25"/>
      <c r="G34" s="25"/>
      <c r="H34" s="24"/>
      <c r="I34" s="24"/>
      <c r="J34" s="24"/>
      <c r="K34" s="24"/>
      <c r="L34" s="24"/>
      <c r="M34" s="24"/>
      <c r="N34" s="24"/>
      <c r="O34" s="24"/>
      <c r="P34" s="24"/>
      <c r="Q34" s="24"/>
      <c r="R34" s="24"/>
      <c r="S34" s="24" t="s">
        <v>181</v>
      </c>
      <c r="T34" s="25"/>
      <c r="U34" s="25"/>
      <c r="V34" s="25"/>
      <c r="W34" s="24"/>
      <c r="X34" s="24"/>
      <c r="AM34" s="29">
        <v>45133.538437499999</v>
      </c>
      <c r="AN34" s="1" t="s">
        <v>142</v>
      </c>
    </row>
    <row r="35" spans="1:40" ht="16.350000000000001" customHeight="1" x14ac:dyDescent="0.2">
      <c r="A35" s="26" t="s">
        <v>116</v>
      </c>
      <c r="B35" s="26" t="s">
        <v>8</v>
      </c>
      <c r="C35" s="30">
        <v>350</v>
      </c>
      <c r="D35" s="30">
        <v>0</v>
      </c>
      <c r="F35" s="25"/>
      <c r="G35" s="25"/>
      <c r="H35" s="24"/>
      <c r="I35" s="24"/>
      <c r="J35" s="24"/>
      <c r="K35" s="24"/>
      <c r="L35" s="24"/>
      <c r="M35" s="24"/>
      <c r="N35" s="24"/>
      <c r="O35" s="24"/>
      <c r="P35" s="24"/>
      <c r="Q35" s="24"/>
      <c r="R35" s="24"/>
      <c r="S35" s="24"/>
      <c r="T35" s="25"/>
      <c r="U35" s="25"/>
      <c r="V35" s="25"/>
      <c r="W35" s="24"/>
      <c r="X35" s="24"/>
    </row>
    <row r="36" spans="1:40" ht="16.350000000000001" customHeight="1" x14ac:dyDescent="0.2">
      <c r="A36" s="26" t="s">
        <v>117</v>
      </c>
      <c r="B36" s="26" t="s">
        <v>118</v>
      </c>
      <c r="C36" s="30">
        <v>120</v>
      </c>
      <c r="D36" s="30">
        <v>0</v>
      </c>
      <c r="F36" s="25"/>
      <c r="G36" s="25"/>
      <c r="H36" s="24"/>
      <c r="I36" s="24"/>
      <c r="J36" s="24"/>
      <c r="K36" s="24"/>
      <c r="L36" s="24"/>
      <c r="M36" s="24"/>
      <c r="N36" s="24"/>
      <c r="O36" s="24"/>
      <c r="P36" s="24"/>
      <c r="Q36" s="24"/>
      <c r="R36" s="24"/>
      <c r="S36" s="24"/>
      <c r="T36" s="25"/>
      <c r="U36" s="25"/>
      <c r="V36" s="25"/>
      <c r="W36" s="24"/>
      <c r="X36" s="24"/>
      <c r="AM36" s="29">
        <v>45086.311053240737</v>
      </c>
    </row>
  </sheetData>
  <sheetProtection formatCells="0" selectLockedCells="1" sort="0" autoFilter="0" pivotTables="0" selectUnlockedCells="1"/>
  <protectedRanges>
    <protectedRange sqref="A3:I8912" name="Range1"/>
  </protectedRanges>
  <dataConsolidate/>
  <mergeCells count="1">
    <mergeCell ref="A1:B1"/>
  </mergeCells>
  <phoneticPr fontId="0" type="noConversion"/>
  <conditionalFormatting sqref="G3:G36">
    <cfRule type="containsBlanks" priority="5" stopIfTrue="1">
      <formula>LEN(TRIM(G3))=0</formula>
    </cfRule>
    <cfRule type="cellIs" dxfId="40" priority="6" stopIfTrue="1" operator="lessThan">
      <formula>#REF!</formula>
    </cfRule>
    <cfRule type="cellIs" dxfId="39" priority="7" stopIfTrue="1" operator="greaterThan">
      <formula>#REF!</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85725</xdr:colOff>
                    <xdr:row>0</xdr:row>
                    <xdr:rowOff>66675</xdr:rowOff>
                  </from>
                  <to>
                    <xdr:col>0</xdr:col>
                    <xdr:colOff>838200</xdr:colOff>
                    <xdr:row>0</xdr:row>
                    <xdr:rowOff>676275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79049-F641-4212-906D-CEDAA7442971}">
  <sheetPr codeName="Sheet3"/>
  <dimension ref="A1:A2"/>
  <sheetViews>
    <sheetView workbookViewId="0">
      <selection activeCell="A10" sqref="A10"/>
    </sheetView>
  </sheetViews>
  <sheetFormatPr defaultRowHeight="12.75" x14ac:dyDescent="0.2"/>
  <cols>
    <col min="1" max="1" width="116.140625" style="38" customWidth="1"/>
  </cols>
  <sheetData>
    <row r="1" spans="1:1" ht="47.25" customHeight="1" x14ac:dyDescent="0.2">
      <c r="A1" s="54" t="s">
        <v>182</v>
      </c>
    </row>
    <row r="2" spans="1:1" ht="127.5" x14ac:dyDescent="0.2">
      <c r="A2" s="37" t="s">
        <v>187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5137" r:id="rId3" name="Button 1">
              <controlPr defaultSize="0" print="0" autoFill="0" autoPict="0" macro="[0]!Home_Click">
                <anchor moveWithCells="1" sizeWithCells="1">
                  <from>
                    <xdr:col>2</xdr:col>
                    <xdr:colOff>19050</xdr:colOff>
                    <xdr:row>0</xdr:row>
                    <xdr:rowOff>38100</xdr:rowOff>
                  </from>
                  <to>
                    <xdr:col>2</xdr:col>
                    <xdr:colOff>581025</xdr:colOff>
                    <xdr:row>0</xdr:row>
                    <xdr:rowOff>552450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4"/>
  <sheetViews>
    <sheetView workbookViewId="0">
      <selection activeCell="B36" sqref="B36"/>
    </sheetView>
  </sheetViews>
  <sheetFormatPr defaultRowHeight="12.75" x14ac:dyDescent="0.2"/>
  <cols>
    <col min="1" max="1" width="12.42578125" bestFit="1" customWidth="1"/>
    <col min="2" max="2" width="98" style="4" bestFit="1" customWidth="1"/>
    <col min="3" max="3" width="9" bestFit="1" customWidth="1"/>
    <col min="4" max="4" width="17" bestFit="1" customWidth="1"/>
    <col min="5" max="5" width="10.42578125" bestFit="1" customWidth="1"/>
    <col min="6" max="6" width="14.7109375" bestFit="1" customWidth="1"/>
    <col min="7" max="7" width="27" bestFit="1" customWidth="1"/>
  </cols>
  <sheetData>
    <row r="1" spans="1:7" x14ac:dyDescent="0.2">
      <c r="A1" s="4" t="s">
        <v>9</v>
      </c>
      <c r="B1" s="4" t="s">
        <v>10</v>
      </c>
      <c r="C1" s="4" t="s">
        <v>11</v>
      </c>
      <c r="D1" s="4" t="s">
        <v>12</v>
      </c>
      <c r="E1" s="4" t="s">
        <v>13</v>
      </c>
      <c r="F1" s="4" t="s">
        <v>14</v>
      </c>
      <c r="G1" s="4" t="s">
        <v>15</v>
      </c>
    </row>
    <row r="2" spans="1:7" x14ac:dyDescent="0.2">
      <c r="A2" s="4" t="s">
        <v>42</v>
      </c>
      <c r="B2" s="4" t="s">
        <v>47</v>
      </c>
      <c r="C2" s="4"/>
      <c r="D2" s="4"/>
      <c r="E2" s="4"/>
      <c r="F2" s="4" t="s">
        <v>42</v>
      </c>
      <c r="G2" s="4"/>
    </row>
    <row r="3" spans="1:7" x14ac:dyDescent="0.2">
      <c r="A3" s="4" t="s">
        <v>120</v>
      </c>
      <c r="B3" s="4" t="s">
        <v>121</v>
      </c>
      <c r="C3" s="4" t="s">
        <v>119</v>
      </c>
      <c r="D3" s="4" t="s">
        <v>122</v>
      </c>
      <c r="E3" s="4" t="s">
        <v>123</v>
      </c>
      <c r="F3" s="4" t="s">
        <v>124</v>
      </c>
      <c r="G3" s="4" t="s">
        <v>125</v>
      </c>
    </row>
    <row r="4" spans="1:7" x14ac:dyDescent="0.2">
      <c r="A4" s="4" t="s">
        <v>173</v>
      </c>
      <c r="B4" s="4" t="s">
        <v>174</v>
      </c>
      <c r="C4" s="4" t="s">
        <v>142</v>
      </c>
      <c r="D4" s="4" t="s">
        <v>123</v>
      </c>
      <c r="E4" s="4" t="s">
        <v>123</v>
      </c>
      <c r="F4" s="4" t="s">
        <v>123</v>
      </c>
      <c r="G4" s="4" t="s">
        <v>123</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F51" sqref="F51"/>
    </sheetView>
  </sheetViews>
  <sheetFormatPr defaultRowHeight="12.75" x14ac:dyDescent="0.2"/>
  <cols>
    <col min="1" max="1" width="19.42578125" customWidth="1"/>
    <col min="2" max="2" width="11.28515625" bestFit="1" customWidth="1"/>
  </cols>
  <sheetData>
    <row r="1" spans="1:2" ht="15.75" x14ac:dyDescent="0.25">
      <c r="A1" s="11" t="s">
        <v>38</v>
      </c>
    </row>
    <row r="2" spans="1:2" x14ac:dyDescent="0.2">
      <c r="A2" t="s">
        <v>17</v>
      </c>
      <c r="B2" t="s">
        <v>126</v>
      </c>
    </row>
    <row r="3" spans="1:2" x14ac:dyDescent="0.2">
      <c r="A3" t="s">
        <v>12</v>
      </c>
      <c r="B3" t="s">
        <v>123</v>
      </c>
    </row>
    <row r="4" spans="1:2" x14ac:dyDescent="0.2">
      <c r="A4" t="s">
        <v>13</v>
      </c>
      <c r="B4" t="s">
        <v>123</v>
      </c>
    </row>
    <row r="5" spans="1:2" x14ac:dyDescent="0.2">
      <c r="A5" s="4" t="s">
        <v>16</v>
      </c>
      <c r="B5" s="4" t="s">
        <v>123</v>
      </c>
    </row>
    <row r="6" spans="1:2" x14ac:dyDescent="0.2">
      <c r="A6" t="s">
        <v>18</v>
      </c>
    </row>
    <row r="7" spans="1:2" x14ac:dyDescent="0.2">
      <c r="A7" t="s">
        <v>19</v>
      </c>
    </row>
    <row r="8" spans="1:2" x14ac:dyDescent="0.2">
      <c r="A8" t="s">
        <v>20</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7" t="s">
        <v>21</v>
      </c>
    </row>
    <row r="26" spans="1:1" x14ac:dyDescent="0.2">
      <c r="A26" s="4" t="s">
        <v>22</v>
      </c>
    </row>
    <row r="27" spans="1:1" x14ac:dyDescent="0.2">
      <c r="A27" s="4" t="s">
        <v>23</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11" t="s">
        <v>37</v>
      </c>
    </row>
    <row r="47" spans="1:2" x14ac:dyDescent="0.2">
      <c r="A47" s="4" t="s">
        <v>24</v>
      </c>
      <c r="B47">
        <v>62</v>
      </c>
    </row>
    <row r="48" spans="1:2" x14ac:dyDescent="0.2">
      <c r="A48" s="4" t="s">
        <v>25</v>
      </c>
      <c r="B48">
        <v>11</v>
      </c>
    </row>
    <row r="49" spans="1:5" x14ac:dyDescent="0.2">
      <c r="A49" s="4" t="s">
        <v>26</v>
      </c>
    </row>
    <row r="50" spans="1:5" x14ac:dyDescent="0.2">
      <c r="A50" s="4" t="s">
        <v>27</v>
      </c>
      <c r="B50">
        <v>79</v>
      </c>
    </row>
    <row r="51" spans="1:5" x14ac:dyDescent="0.2">
      <c r="A51" s="4" t="s">
        <v>28</v>
      </c>
      <c r="B51">
        <v>3</v>
      </c>
    </row>
    <row r="52" spans="1:5" x14ac:dyDescent="0.2">
      <c r="A52" s="4" t="s">
        <v>39</v>
      </c>
    </row>
    <row r="53" spans="1:5" x14ac:dyDescent="0.2">
      <c r="A53" s="4"/>
    </row>
    <row r="54" spans="1:5" x14ac:dyDescent="0.2">
      <c r="A54" s="4"/>
    </row>
    <row r="55" spans="1:5" x14ac:dyDescent="0.2">
      <c r="A55" s="4" t="s">
        <v>34</v>
      </c>
      <c r="B55">
        <v>1</v>
      </c>
      <c r="C55" s="41" t="s">
        <v>36</v>
      </c>
      <c r="D55" s="41"/>
      <c r="E55" s="41"/>
    </row>
    <row r="56" spans="1:5" x14ac:dyDescent="0.2">
      <c r="A56" s="4" t="s">
        <v>35</v>
      </c>
      <c r="C56" s="41" t="s">
        <v>36</v>
      </c>
      <c r="D56" s="41"/>
      <c r="E56" s="41"/>
    </row>
    <row r="57" spans="1:5" x14ac:dyDescent="0.2">
      <c r="A57" s="4" t="s">
        <v>33</v>
      </c>
      <c r="C57" s="22" t="s">
        <v>43</v>
      </c>
      <c r="D57" s="23"/>
      <c r="E57" s="23"/>
    </row>
    <row r="58" spans="1:5" hidden="1" x14ac:dyDescent="0.2">
      <c r="A58" s="4"/>
      <c r="C58" s="23"/>
      <c r="D58" s="23"/>
      <c r="E58" s="23"/>
    </row>
    <row r="59" spans="1:5" x14ac:dyDescent="0.2">
      <c r="A59" s="4" t="s">
        <v>41</v>
      </c>
      <c r="C59" s="41" t="s">
        <v>36</v>
      </c>
      <c r="D59" s="41"/>
      <c r="E59" s="41"/>
    </row>
    <row r="60" spans="1:5" x14ac:dyDescent="0.2">
      <c r="A60" s="4" t="s">
        <v>44</v>
      </c>
      <c r="C60" s="41" t="s">
        <v>36</v>
      </c>
      <c r="D60" s="41"/>
      <c r="E60" s="41"/>
    </row>
    <row r="61" spans="1:5" x14ac:dyDescent="0.2">
      <c r="A61" s="4" t="s">
        <v>45</v>
      </c>
      <c r="C61" s="41" t="s">
        <v>46</v>
      </c>
      <c r="D61" s="41"/>
      <c r="E61" s="41"/>
    </row>
    <row r="226" spans="38:38" x14ac:dyDescent="0.2">
      <c r="AL226" s="20">
        <v>44971.26085648148</v>
      </c>
    </row>
  </sheetData>
  <mergeCells count="5">
    <mergeCell ref="C55:E55"/>
    <mergeCell ref="C56:E56"/>
    <mergeCell ref="C59:E59"/>
    <mergeCell ref="C60:E60"/>
    <mergeCell ref="C61:E61"/>
  </mergeCells>
  <pageMargins left="0.7" right="0.7" top="0.75" bottom="0.75" header="0.3" footer="0.3"/>
  <pageSetup paperSize="261" orientation="landscape" horizontalDpi="180" verticalDpi="18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50FFD-FFAD-411A-9893-9BD7CF9307ED}">
  <sheetPr codeName="Sheet9"/>
  <dimension ref="A1"/>
  <sheetViews>
    <sheetView workbookViewId="0">
      <selection activeCell="I18" sqref="I18"/>
    </sheetView>
  </sheetViews>
  <sheetFormatPr defaultRowHeight="12.75"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3089" r:id="rId4" name="Button 1">
              <controlPr defaultSize="0" print="0" autoFill="0" autoPict="0" macro="[0]!UserLogin_Show.Button_Click">
                <anchor moveWithCells="1" sizeWithCells="1">
                  <from>
                    <xdr:col>7</xdr:col>
                    <xdr:colOff>295275</xdr:colOff>
                    <xdr:row>0</xdr:row>
                    <xdr:rowOff>133350</xdr:rowOff>
                  </from>
                  <to>
                    <xdr:col>8</xdr:col>
                    <xdr:colOff>438150</xdr:colOff>
                    <xdr:row>4</xdr:row>
                    <xdr:rowOff>95250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42" t="s">
        <v>29</v>
      </c>
      <c r="B1" s="43"/>
      <c r="C1" s="44"/>
      <c r="D1" s="44"/>
      <c r="E1" s="45"/>
    </row>
    <row r="2" spans="1:5" x14ac:dyDescent="0.2">
      <c r="A2" s="46" t="s">
        <v>30</v>
      </c>
      <c r="B2" s="47"/>
      <c r="C2" s="9"/>
      <c r="D2" s="8" t="s">
        <v>31</v>
      </c>
      <c r="E2" s="10"/>
    </row>
    <row r="3" spans="1:5" x14ac:dyDescent="0.2">
      <c r="A3" s="46" t="s">
        <v>32</v>
      </c>
      <c r="B3" s="47"/>
      <c r="C3" s="51"/>
      <c r="D3" s="51"/>
      <c r="E3" s="52"/>
    </row>
    <row r="4" spans="1:5" ht="13.5" thickBot="1" x14ac:dyDescent="0.25">
      <c r="A4" s="48" t="str">
        <f>Admin!B5</f>
        <v/>
      </c>
      <c r="B4" s="49"/>
      <c r="C4" s="49"/>
      <c r="D4" s="49"/>
      <c r="E4" s="50"/>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O1" sqref="O1"/>
    </sheetView>
  </sheetViews>
  <sheetFormatPr defaultRowHeight="12.75" x14ac:dyDescent="0.2"/>
  <sheetData>
    <row r="1" spans="1:12" ht="17.25" customHeight="1" x14ac:dyDescent="0.2">
      <c r="A1" s="53" t="s">
        <v>48</v>
      </c>
      <c r="B1" s="53"/>
      <c r="C1" s="53"/>
      <c r="D1" s="53"/>
      <c r="E1" s="53"/>
      <c r="F1" s="53"/>
      <c r="G1" s="53"/>
      <c r="H1" s="53"/>
      <c r="I1" s="53"/>
      <c r="J1" s="53"/>
      <c r="K1" s="53"/>
      <c r="L1" s="53"/>
    </row>
    <row r="2" spans="1:12" ht="12.75" customHeight="1" x14ac:dyDescent="0.2">
      <c r="A2" s="53"/>
      <c r="B2" s="53"/>
      <c r="C2" s="53"/>
      <c r="D2" s="53"/>
      <c r="E2" s="53"/>
      <c r="F2" s="53"/>
      <c r="G2" s="53"/>
      <c r="H2" s="53"/>
      <c r="I2" s="53"/>
      <c r="J2" s="53"/>
      <c r="K2" s="53"/>
      <c r="L2" s="53"/>
    </row>
    <row r="3" spans="1:12" ht="12.75" customHeight="1" x14ac:dyDescent="0.2">
      <c r="A3" s="53"/>
      <c r="B3" s="53"/>
      <c r="C3" s="53"/>
      <c r="D3" s="53"/>
      <c r="E3" s="53"/>
      <c r="F3" s="53"/>
      <c r="G3" s="53"/>
      <c r="H3" s="53"/>
      <c r="I3" s="53"/>
      <c r="J3" s="53"/>
      <c r="K3" s="53"/>
      <c r="L3" s="53"/>
    </row>
    <row r="4" spans="1:12" ht="12.75" customHeight="1" x14ac:dyDescent="0.2">
      <c r="A4" s="53"/>
      <c r="B4" s="53"/>
      <c r="C4" s="53"/>
      <c r="D4" s="53"/>
      <c r="E4" s="53"/>
      <c r="F4" s="53"/>
      <c r="G4" s="53"/>
      <c r="H4" s="53"/>
      <c r="I4" s="53"/>
      <c r="J4" s="53"/>
      <c r="K4" s="53"/>
      <c r="L4" s="53"/>
    </row>
    <row r="5" spans="1:12" ht="12.75" customHeight="1" x14ac:dyDescent="0.2">
      <c r="A5" s="53"/>
      <c r="B5" s="53"/>
      <c r="C5" s="53"/>
      <c r="D5" s="53"/>
      <c r="E5" s="53"/>
      <c r="F5" s="53"/>
      <c r="G5" s="53"/>
      <c r="H5" s="53"/>
      <c r="I5" s="53"/>
      <c r="J5" s="53"/>
      <c r="K5" s="53"/>
      <c r="L5" s="53"/>
    </row>
    <row r="6" spans="1:12" ht="12.75" customHeight="1" x14ac:dyDescent="0.2">
      <c r="A6" s="53"/>
      <c r="B6" s="53"/>
      <c r="C6" s="53"/>
      <c r="D6" s="53"/>
      <c r="E6" s="53"/>
      <c r="F6" s="53"/>
      <c r="G6" s="53"/>
      <c r="H6" s="53"/>
      <c r="I6" s="53"/>
      <c r="J6" s="53"/>
      <c r="K6" s="53"/>
      <c r="L6" s="53"/>
    </row>
    <row r="7" spans="1:12" ht="12.75" customHeight="1" x14ac:dyDescent="0.2">
      <c r="A7" s="53"/>
      <c r="B7" s="53"/>
      <c r="C7" s="53"/>
      <c r="D7" s="53"/>
      <c r="E7" s="53"/>
      <c r="F7" s="53"/>
      <c r="G7" s="53"/>
      <c r="H7" s="53"/>
      <c r="I7" s="53"/>
      <c r="J7" s="53"/>
      <c r="K7" s="53"/>
      <c r="L7" s="53"/>
    </row>
    <row r="8" spans="1:12" ht="12.75" customHeight="1" x14ac:dyDescent="0.2">
      <c r="A8" s="53"/>
      <c r="B8" s="53"/>
      <c r="C8" s="53"/>
      <c r="D8" s="53"/>
      <c r="E8" s="53"/>
      <c r="F8" s="53"/>
      <c r="G8" s="53"/>
      <c r="H8" s="53"/>
      <c r="I8" s="53"/>
      <c r="J8" s="53"/>
      <c r="K8" s="53"/>
      <c r="L8" s="53"/>
    </row>
    <row r="9" spans="1:12" ht="12.75" customHeight="1" x14ac:dyDescent="0.2">
      <c r="A9" s="53"/>
      <c r="B9" s="53"/>
      <c r="C9" s="53"/>
      <c r="D9" s="53"/>
      <c r="E9" s="53"/>
      <c r="F9" s="53"/>
      <c r="G9" s="53"/>
      <c r="H9" s="53"/>
      <c r="I9" s="53"/>
      <c r="J9" s="53"/>
      <c r="K9" s="53"/>
      <c r="L9" s="53"/>
    </row>
    <row r="10" spans="1:12" ht="12.75" customHeight="1" x14ac:dyDescent="0.2">
      <c r="A10" s="53"/>
      <c r="B10" s="53"/>
      <c r="C10" s="53"/>
      <c r="D10" s="53"/>
      <c r="E10" s="53"/>
      <c r="F10" s="53"/>
      <c r="G10" s="53"/>
      <c r="H10" s="53"/>
      <c r="I10" s="53"/>
      <c r="J10" s="53"/>
      <c r="K10" s="53"/>
      <c r="L10" s="53"/>
    </row>
    <row r="11" spans="1:12" ht="12.75" customHeight="1" x14ac:dyDescent="0.2">
      <c r="A11" s="53"/>
      <c r="B11" s="53"/>
      <c r="C11" s="53"/>
      <c r="D11" s="53"/>
      <c r="E11" s="53"/>
      <c r="F11" s="53"/>
      <c r="G11" s="53"/>
      <c r="H11" s="53"/>
      <c r="I11" s="53"/>
      <c r="J11" s="53"/>
      <c r="K11" s="53"/>
      <c r="L11" s="53"/>
    </row>
    <row r="12" spans="1:12" ht="12.75" customHeight="1" x14ac:dyDescent="0.2">
      <c r="A12" s="53"/>
      <c r="B12" s="53"/>
      <c r="C12" s="53"/>
      <c r="D12" s="53"/>
      <c r="E12" s="53"/>
      <c r="F12" s="53"/>
      <c r="G12" s="53"/>
      <c r="H12" s="53"/>
      <c r="I12" s="53"/>
      <c r="J12" s="53"/>
      <c r="K12" s="53"/>
      <c r="L12" s="53"/>
    </row>
    <row r="13" spans="1:12" ht="12.75" customHeight="1" x14ac:dyDescent="0.2">
      <c r="A13" s="53"/>
      <c r="B13" s="53"/>
      <c r="C13" s="53"/>
      <c r="D13" s="53"/>
      <c r="E13" s="53"/>
      <c r="F13" s="53"/>
      <c r="G13" s="53"/>
      <c r="H13" s="53"/>
      <c r="I13" s="53"/>
      <c r="J13" s="53"/>
      <c r="K13" s="53"/>
      <c r="L13" s="53"/>
    </row>
    <row r="14" spans="1:12" x14ac:dyDescent="0.2">
      <c r="A14" s="53"/>
      <c r="B14" s="53"/>
      <c r="C14" s="53"/>
      <c r="D14" s="53"/>
      <c r="E14" s="53"/>
      <c r="F14" s="53"/>
      <c r="G14" s="53"/>
      <c r="H14" s="53"/>
      <c r="I14" s="53"/>
      <c r="J14" s="53"/>
      <c r="K14" s="53"/>
      <c r="L14" s="53"/>
    </row>
    <row r="15" spans="1:12" x14ac:dyDescent="0.2">
      <c r="A15" s="53"/>
      <c r="B15" s="53"/>
      <c r="C15" s="53"/>
      <c r="D15" s="53"/>
      <c r="E15" s="53"/>
      <c r="F15" s="53"/>
      <c r="G15" s="53"/>
      <c r="H15" s="53"/>
      <c r="I15" s="53"/>
      <c r="J15" s="53"/>
      <c r="K15" s="53"/>
      <c r="L15" s="53"/>
    </row>
    <row r="16" spans="1:12" x14ac:dyDescent="0.2">
      <c r="A16" s="53"/>
      <c r="B16" s="53"/>
      <c r="C16" s="53"/>
      <c r="D16" s="53"/>
      <c r="E16" s="53"/>
      <c r="F16" s="53"/>
      <c r="G16" s="53"/>
      <c r="H16" s="53"/>
      <c r="I16" s="53"/>
      <c r="J16" s="53"/>
      <c r="K16" s="53"/>
      <c r="L16" s="53"/>
    </row>
    <row r="17" spans="1:12" x14ac:dyDescent="0.2">
      <c r="A17" s="53"/>
      <c r="B17" s="53"/>
      <c r="C17" s="53"/>
      <c r="D17" s="53"/>
      <c r="E17" s="53"/>
      <c r="F17" s="53"/>
      <c r="G17" s="53"/>
      <c r="H17" s="53"/>
      <c r="I17" s="53"/>
      <c r="J17" s="53"/>
      <c r="K17" s="53"/>
      <c r="L17" s="53"/>
    </row>
    <row r="18" spans="1:12" x14ac:dyDescent="0.2">
      <c r="A18" s="53"/>
      <c r="B18" s="53"/>
      <c r="C18" s="53"/>
      <c r="D18" s="53"/>
      <c r="E18" s="53"/>
      <c r="F18" s="53"/>
      <c r="G18" s="53"/>
      <c r="H18" s="53"/>
      <c r="I18" s="53"/>
      <c r="J18" s="53"/>
      <c r="K18" s="53"/>
      <c r="L18" s="53"/>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217B684C164A1449072FFB822658FF7" ma:contentTypeVersion="4" ma:contentTypeDescription="Create a new document." ma:contentTypeScope="" ma:versionID="815e141de2e72dd7b6e9016da4ed0f24">
  <xsd:schema xmlns:xsd="http://www.w3.org/2001/XMLSchema" xmlns:xs="http://www.w3.org/2001/XMLSchema" xmlns:p="http://schemas.microsoft.com/office/2006/metadata/properties" xmlns:ns2="cb1db545-b45e-48d4-b977-c2f9889ea4b0" targetNamespace="http://schemas.microsoft.com/office/2006/metadata/properties" ma:root="true" ma:fieldsID="f5dc99f00c915505abca0fb1c3c53dec" ns2:_="">
    <xsd:import namespace="cb1db545-b45e-48d4-b977-c2f9889ea4b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1db545-b45e-48d4-b977-c2f9889ea4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ReportLoop>
  <AddInVersion year="21" major="3" minor="0" build="3029"/>
  <DataVersion major="1" minor="0"> </DataVersion>
  <Snapshots>
    <Version>1</Version>
  </Snapshots>
  <ProjectData>
    <Version/>
    <Workspaces/>
  </ProjectData>
</ReportLoop>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F91421-A404-43B7-9012-BC859860C17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1db545-b45e-48d4-b977-c2f9889ea4b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B63D71F-C783-4D97-8191-C1948247C2F8}">
  <ds:schemaRefs>
    <ds:schemaRef ds:uri="http://schemas.microsoft.com/DataMashup"/>
  </ds:schemaRefs>
</ds:datastoreItem>
</file>

<file path=customXml/itemProps3.xml><?xml version="1.0" encoding="utf-8"?>
<ds:datastoreItem xmlns:ds="http://schemas.openxmlformats.org/officeDocument/2006/customXml" ds:itemID="{2FC21E2E-6811-4F03-8799-7C1BE882B070}">
  <ds:schemaRefs/>
</ds:datastoreItem>
</file>

<file path=customXml/itemProps4.xml><?xml version="1.0" encoding="utf-8"?>
<ds:datastoreItem xmlns:ds="http://schemas.openxmlformats.org/officeDocument/2006/customXml" ds:itemID="{BAB674BB-7F26-446A-9EB4-F33A71947530}">
  <ds:schemaRefs>
    <ds:schemaRef ds:uri="http://schemas.microsoft.com/sharepoint/v3/contenttype/forms"/>
  </ds:schemaRefs>
</ds:datastoreItem>
</file>

<file path=customXml/itemProps5.xml><?xml version="1.0" encoding="utf-8"?>
<ds:datastoreItem xmlns:ds="http://schemas.openxmlformats.org/officeDocument/2006/customXml" ds:itemID="{3D63861F-D1CB-4773-AB6F-D0823B6D9A52}">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CreatedByAlexFare</vt:lpstr>
      <vt:lpstr>Audit</vt:lpstr>
      <vt:lpstr>Credentials</vt:lpstr>
      <vt:lpstr>Admin</vt:lpstr>
      <vt:lpstr>Login</vt:lpstr>
      <vt:lpstr>Labels</vt:lpstr>
      <vt:lpstr>Format</vt:lpstr>
      <vt:lpstr>Gage_IDs</vt:lpstr>
      <vt:lpstr>inputPassword</vt:lpstr>
      <vt:lpstr>inputUsername</vt:lpstr>
      <vt:lpstr>Password</vt:lpstr>
      <vt:lpstr>CreatedByAlexFare!Print_Area</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2023-08-04T11:14:48Z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0x0101009217B684C164A1449072FFB822658FF7</vt:lpwstr>
  </property>
</Properties>
</file>