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Inventory Tracker/!GitHub/v1.1.3/"/>
    </mc:Choice>
  </mc:AlternateContent>
  <xr:revisionPtr revIDLastSave="6695" documentId="13_ncr:1_{6B61E429-2753-4C25-9E79-2B79551369C0}" xr6:coauthVersionLast="47" xr6:coauthVersionMax="47" xr10:uidLastSave="{B580F397-E556-4E36-AF4D-7A4E4DE2A94F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" sheetId="44" r:id="rId2"/>
    <sheet name="Credentials" sheetId="27" r:id="rId3"/>
    <sheet name="Admin" sheetId="34" r:id="rId4"/>
    <sheet name="Labels" sheetId="35" state="hidden" r:id="rId5"/>
  </sheets>
  <functionGroups builtInGroupCount="19"/>
  <definedNames>
    <definedName name="_xlnm._FilterDatabase" localSheetId="0" hidden="1">CreatedByAlexFare!$J$2:$T$3</definedName>
    <definedName name="Gage_IDs">Gage_List_3.12.3[Product]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0">CreatedByAlexFare!$A$2:$G$3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3" l="1"/>
  <c r="A4" i="35"/>
</calcChain>
</file>

<file path=xl/sharedStrings.xml><?xml version="1.0" encoding="utf-8"?>
<sst xmlns="http://schemas.openxmlformats.org/spreadsheetml/2006/main" count="69" uniqueCount="65">
  <si>
    <t>Description</t>
  </si>
  <si>
    <t>Column2</t>
  </si>
  <si>
    <t>Column3</t>
  </si>
  <si>
    <t>Column4</t>
  </si>
  <si>
    <t>Column5</t>
  </si>
  <si>
    <t>Last Edited</t>
  </si>
  <si>
    <t>Last Searched</t>
  </si>
  <si>
    <t>Last User</t>
  </si>
  <si>
    <t>Username</t>
  </si>
  <si>
    <t>Password</t>
  </si>
  <si>
    <t>Name</t>
  </si>
  <si>
    <t>Phone Number</t>
  </si>
  <si>
    <t>Address</t>
  </si>
  <si>
    <t>Job Position</t>
  </si>
  <si>
    <t>Email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</si>
  <si>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</si>
  <si>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</si>
  <si>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</si>
  <si>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</si>
  <si>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</si>
  <si>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</si>
  <si>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</si>
  <si>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</si>
  <si>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</si>
  <si>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</si>
  <si>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Users Count</t>
  </si>
  <si>
    <t>Part Number:</t>
  </si>
  <si>
    <t>Calibrated Date:</t>
  </si>
  <si>
    <t>Due Date:</t>
  </si>
  <si>
    <t>Calibrated By:</t>
  </si>
  <si>
    <t>Persistent Login</t>
  </si>
  <si>
    <t>1 = Required | 2 = Not Required</t>
  </si>
  <si>
    <t>Stats:</t>
  </si>
  <si>
    <t>Profile:</t>
  </si>
  <si>
    <t>Logged In As</t>
  </si>
  <si>
    <t>Attachment</t>
  </si>
  <si>
    <t>Admin</t>
  </si>
  <si>
    <t>OnlyAllowAdminsEdit</t>
  </si>
  <si>
    <t>SkipDevMode</t>
  </si>
  <si>
    <t>1 = Dev Mode | 2 = Normal</t>
  </si>
  <si>
    <t>iHN12uxiqfAtMqY8nhTHZBqaikLk+o9lkOuSjZdEtXu1BXodIn5NQO+RGsAwWQu84r/beBA/8LeQlM7oQlYB9Q==</t>
  </si>
  <si>
    <t>Column1</t>
  </si>
  <si>
    <t>Product</t>
  </si>
  <si>
    <t>Inventory</t>
  </si>
  <si>
    <t>On-Order</t>
  </si>
  <si>
    <t>Alex Fare</t>
  </si>
  <si>
    <t>Alex</t>
  </si>
  <si>
    <t>lblReceivedIn</t>
  </si>
  <si>
    <t>lblOrderEntry</t>
  </si>
  <si>
    <t>lblUsageReport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</si>
  <si>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</si>
  <si>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</si>
  <si>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</si>
  <si>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</si>
  <si>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</si>
  <si>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</si>
  <si>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</si>
  <si>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</si>
  <si>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Cardboard Tracker</t>
  </si>
  <si>
    <t>Audit Log</t>
  </si>
  <si>
    <t>Column14</t>
  </si>
  <si>
    <t>UpdateMode</t>
  </si>
  <si>
    <t>v1.1.3</t>
  </si>
  <si>
    <t>Workbook Updates</t>
  </si>
  <si>
    <t xml:space="preserve">
 ||| Date: 10/27/2023 2:03:54 PM
 User: Alex Fare
 Action: Searched ||| 
 ||| Date: 10/27/2023 2:03:59 PM
 User: Alex Fare
 Action: Order Entry ||| 
 ||| Date: 10/27/2023 2:04:03 PM
 User: Alex Fare
 Action: Searched ||| 
 ||| Date: 10/27/2023 2:04:08 PM
 User: Alex Fare
 Action: Searched ||| 
 ||| Date: 10/27/2023 2:07:37 PM
 User: Alex Fare
 Action: Searched ||| 
 ||| Date: 10/27/2023 2:07:42 PM
 User: Alex Fare
 Action: Searched ||| 
 ||| Date: 10/27/2023 2:07:46 PM
 User: Alex Fare
 Action: Searched ||| 
 ||| Date: 10/27/2023 2:07:48 PM
 User: Alex Fare
 Action: Received In ||| 
 ||| Date: 10/27/2023 2:07:52 PM
 User: Alex Fare
 Action: Searched ||| 
 ||| Date: 10/27/2023 2:07:55 PM
 User: Alex Fare
 Action: Searched ||| 
 ||| Date: 10/27/2023 2:07:58 PM
 User: Alex Fare
 Action: Order Entry ||| 
 ||| Date: 10/27/2023 2:08:17 PM
 User: Alex Fare
 Action: Searched ||| 
 ||| Date: 10/27/2023 2:08:22 PM
 User: Alex Fare
 Action: Received In ||| 
 ||| Date: 10/27/2023 2:08:27 PM
 User: Alex Fare
 Action: Usage Report ||| 
 ||| Date: 10/30/2023 5:11:26 AM
 User: Ryan Bauman
 Action: Searched ||| 
 ||| Date: 10/30/2023 5:11:44 AM
 User: Ryan Bauman
 Action: Received In ||| 
 ||| Date: 10/30/2023 5:11:48 AM
 User: Ryan Bauman
 Action: Searched ||| 
 ||| Date: 10/30/2023 5:12:12 AM
 User: Ryan Bauman
 Action: Searched ||| 
 ||| Date: 10/30/2023 5:12:27 AM
 User: Ryan Bauman
 Action: Received In ||| 
 ||| Date: 10/30/2023 5:12:31 AM
 User: Ryan Bauman
 Action: Searched ||| 
 ||| Date: 10/30/2023 5:12:51 AM
 User: Ryan Bauman
 Action: Searched ||| 
 ||| Date: 10/30/2023 5:13:04 AM
 User: Ryan Bauman
 Action: Usage Report ||| 
 ||| Date: 10/30/2023 5:13:08 AM
 User: Ryan Bauman
 Action: Searched ||| 
 ||| Date: 10/30/2023 5:13:44 AM
 User: Ryan Bauman
 Action: Searched ||| 
 ||| Date: 10/30/2023 5:14:05 AM
 User: Ryan Bauman
 Action: Searched ||| 
 ||| Date: 10/30/2023 5:14:15 AM
 User: Ryan Bauman
 Action: Usage Report ||| 
 ||| Date: 10/30/2023 5:14:19 AM
 User: Ryan Bauman
 Action: Searched ||| 
 ||| Date: 10/30/2023 5:14:35 AM
 User: Ryan Bauman
 Action: Searched ||| 
 ||| Date: 10/30/2023 5:14:49 AM
 User: Ryan Bauman
 Action: Usage Report ||| 
 ||| Date: 10/30/2023 5:14:53 AM
 User: Ryan Bauman
 Action: Searched ||| 
 ||| Date: 10/30/2023 5:15:10 AM
 User: Ryan Bauman
 Action: Searched ||| 
 ||| Date: 10/30/2023 5:15:21 AM
 User: Ryan Bauman
 Action: Usage Report ||| 
 ||| Date: 10/30/2023 5:15:25 AM
 User: Ryan Bauman
 Action: Searched ||| 
 ||| Date: 10/30/2023 5:15:40 AM
 User: Ryan Bauman
 Action: Searched ||| 
 ||| Date: 10/30/2023 5:15:51 AM
 User: Ryan Bauman
 Action: Usage Report ||| 
 ||| Date: 10/30/2023 5:15:55 AM
 User: Ryan Bauman
 Action: Searched ||| 
 ||| Date: 10/30/2023 5:16:17 AM
 User: Ryan Bauman
 Action: Searched ||| 
 ||| Date: 10/30/2023 5:16:28 AM
 User: Ryan Bauman
 Action: Usage Report ||| 
 ||| Date: 10/30/2023 5:16:32 AM
 User: Ryan Bauman
 Action: Searched ||| 
 ||| Date: 10/30/2023 5:16:44 AM
 User: Ryan Bauman
 Action: Searched ||| 
 ||| Date: 10/30/2023 5:16:55 AM
 User: Ryan Bauman
 Action: Usage Report ||| 
 ||| Date: 10/30/2023 5:16:59 AM
 User: Ryan Bauman
 Action: Searched ||| 
 ||| Date: 10/30/2023 5:17:24 AM
 User: Ryan Bauman
 Action: Searched ||| 
 ||| Date: 10/30/2023 5:17:35 AM
 User: Ryan Bauman
 Action: Usage Report ||| 
 ||| Date: 10/30/2023 5:17:39 AM
 User: Ryan Bauman
 Action: Searched ||| 
 ||| Date: 10/30/2023 5:17:55 AM
 User: Ryan Bauman
 Action: Searched ||| 
 ||| Date: 10/30/2023 5:18:06 AM
 User: Ryan Bauman
 Action: Usage Report ||| 
 ||| Date: 10/30/2023 5:18:10 AM
 User: Ryan Bauman
 Action: Searched ||| 
 ||| Date: 10/30/2023 5:18:46 AM
 User: Ryan Bauman
 Action: Searched ||| 
 ||| Date: 10/30/2023 5:18:56 AM
 User: Ryan Bauman
 Action: Usage Report ||| 
 ||| Date: 10/30/2023 5:19:00 AM
 User: Ryan Bauman
 Action: Searched ||| 
 ||| Date: 10/30/2023 5:19:26 AM
 User: Ryan Bauman
 Action: Searched ||| 
 ||| Date: 10/30/2023 5:19:35 AM
 User: Ryan Bauman
 Action: Usage Report ||| 
 ||| Date: 10/30/2023 5:19:39 AM
 User: Ryan Bauman
 Action: Searched ||| 
 ||| Date: 10/30/2023 5:21:54 AM
 User: Ryan Bauman
 Action: Searched ||| 
 ||| Date: 10/30/2023 5:22:23 AM
 User: Ryan Bauman
 Action: Order Entry ||| 
 ||| Date: 10/30/2023 5:22:27 AM
 User: Ryan Bauman
 Action: Searched ||| 
 ||| Date: 10/30/2023 5:22:40 AM
 User: Ryan Bauman
 Action: Searched ||| 
 ||| Date: 10/30/2023 5:22:53 AM
 User: Ryan Bauman
 Action: Usage Report ||| 
 ||| Date: 10/30/2023 5:22:57 AM
 User: Ryan Bauman
 Action: Searched ||| 
 ||| Date: 10/30/2023 5:23:03 AM
 User: Ryan Bauman
 Action: Order Entry ||| 
 ||| Date: 10/30/2023 5:23:07 AM
 User: Ryan Bauman
 Action: Searched ||| 
 ||| Date: 10/30/2023 11:26:46 AM
 User: Alex Fare
 Action: Searched ||| 
 ||| Date: 10/30/2023 11:26:50 AM
 User: Alex Fare
 Action: Order Entry ||| 
 ||| Date: 10/30/2023 1:29:01 PM
 User: Alex Fare
 Action: Searched ||| 
1024229-HSC
 ||| Date: 10/30/2023 1:30:32 PM
 User: Alex Fare
 Action: Searched For 1024229-HSC ||| 
 ||| Date: 10/30/2023 1:30:37 PM
 User: Alex Fare
 Action: Searched For 1024229-Tubes ||| 
Date: 10/30/2023 1:31:39 PM
 User: Alex Fare
 Action: Searched For 1025134-HSC
Date: 10/30/2023 1:33:12 PM
 User: Alex Fare
 Action: Searched 1024229-HSC
Date: 10/30/2023 1:33:19 PM
 User: Alex Fare
 Action: Order Entry 1024229-HSC
Date: 10/30/2023 1:33:23 PM
 User: Alex Fare
 Action: Searched 1024229-HSC
Date: 10/30/2023 1:33:25 PM
 User: Alex Fare
 Action: Received In 1024229-HSC
Date: 10/30/2023 1:33:29 PM
 User: Alex Fare
 Action: Searched 1024229-HSC
Date: 10/30/2023 1:33:33 PM
 User: Alex Fare
 Action: Usage Report 1024229-HSC
Date: 10/30/2023 1:59:58 PM
 User: Alex Fare
 Action: Searched 1024229-HSC
Date: 11/9/2023 2:29:17 PM
 User: Ryan Bauman
 Action: Searched 1025271-Cover
Date: 11/9/2023 2:29:31 PM
 User: Ryan Bauman
 Action: Usage Report 1025271-Cover
Date: 11/9/2023 2:29:35 PM
 User: Ryan Bauman
 Action: Searched 1025271-Cover
Date: 11/9/2023 2:29:59 PM
 User: Ryan Bauman
 Action: Searched 1019176-02-PTN
Date: 11/9/2023 2:30:11 PM
 User: Ryan Bauman
 Action: Usage Report 1019176-02-PTN
Date: 11/9/2023 2:30:15 PM
 User: Ryan Bauman
 Action: Searched 1019176-02-PTN
Date: 11/9/2023 2:31:29 PM
 User: Ryan Bauman
 Action: Searched 1025320-Tube
Date: 11/9/2023 2:31:42 PM
 User: Ryan Bauman
 Action: Usage Report 1025320-Tube
Date: 11/9/2023 2:31:46 PM
 User: Ryan Bauman
 Action: Searched 1025320-Tube
Date: 11/9/2023 2:32:00 PM
 User: Ryan Bauman
 Action: Searched 1024229-Cover
Date: 11/9/2023 2:32:12 PM
 User: Ryan Bauman
 Action: Usage Report 1024229-Cover
Date: 11/9/2023 2:32:16 PM
 User: Ryan Bauman
 Action: Searched 1024229-Cover
Date: 11/9/2023 2:32:31 PM
 User: Ryan Bauman
 Action: Searched 1024229-Tubes
Date: 11/9/2023 2:32:44 PM
 User: Ryan Bauman
 Action: Usage Report 1024229-Tubes
Date: 11/9/2023 2:32:48 PM
 User: Ryan Bauman
 Action: Searched 1024229-Tubes
Date: 11/9/2023 2:33:09 PM
 User: Ryan Bauman
 Action: Searched 1021997R2-Tubes
Date: 11/9/2023 2:33:22 PM
 User: Ryan Bauman
 Action: Usage Report 1021997R2-Tubes
Date: 11/9/2023 2:33:26 PM
 User: Ryan Bauman
 Action: Searched 1021997R2-Tubes
Date: 11/9/2023 2:34:16 PM
 User: Ryan Bauman
 Action: Searched 5266759-HSC
Date: 11/9/2023 2:34:26 PM
 User: Ryan Bauman
 Action: Usage Report 5266759-HSC
Date: 11/9/2023 2:34:30 PM
 User: Ryan Bauman
 Action: Searched 5266759-HSC
Date: 11/9/2023 2:34:48 PM
 User: Ryan Bauman
 Action: Searched Large Envision Boxes
Date: 11/9/2023 2:35:00 PM
 User: Ryan Bauman
 Action: Received In Large Envision Boxes
Date: 11/9/2023 2:35:04 PM
 User: Ryan Bauman
 Action: Searched Large Envision Boxes
Date: 11/14/2023 1:44:42 PM
 User: Ryan Bauman
 Action: Searched 1025271-Tube
Date: 11/14/2023 1:44:58 PM
 User: Ryan Bauman
 Action: Usage Report 1025271-Tube
Date: 11/14/2023 1:45:02 PM
 User: Ryan Bauman
 Action: Searched 1025271-Tube
Date: 11/14/2023 1:45:16 PM
 User: Ryan Bauman
 Action: Searched 1024229-Tubes
Date: 11/14/2023 1:45:40 PM
 User: Ryan Bauman
 Action: Usage Report 1024229-Tubes
Date: 11/14/2023 1:45:44 PM
 User: Ryan Bauman
 Action: Searched 1024229-Tubes
Date: 11/14/2023 1:45:54 PM
 User: Ryan Bauman
 Action: Searched 1025134-Tubes
Date: 11/14/2023 1:46:28 PM
 User: Ryan Bauman
 Action: Usage Report 1025134-Tubes
Date: 11/14/2023 1:46:32 PM
 User: Ryan Bauman
 Action: Searched 1025134-Tubes
Date: 11/14/2023 1:47:39 PM
 User: Ryan Bauman
 Action: Searched 1025271-Cover
Date: 11/14/2023 1:47:53 PM
 User: Ryan Bauman
 Action: Order Entry 1025271-Cover
Date: 11/14/2023 1:47:57 PM
 User: Ryan Bauman
 Action: Searched 1025271-Cover
Date: 11/14/2023 1:51:03 PM
 User: Ryan Bauman
 Action: Searched 1024229-Tubes
Date: 11/14/2023 1:51:11 PM
 User: Ryan Bauman
 Action: Order Entry 1024229-Tubes
Date: 11/14/2023 1:51:15 PM
 User: Ryan Bauman
 Action: Searched 1024229-Tubes
Date: 11/14/2023 1:51:32 PM
 User: Ryan Bauman
 Action: Searched 1025271-Tube
Date: 11/14/2023 1:51:40 PM
 User: Ryan Bauman
 Action: Order Entry 1025271-Tube
Date: 11/14/2023 1:51:44 PM
 User: Ryan Bauman
 Action: Searched 1025271-Tube
Date: 11/29/2023 2:41:39 PM
 User: Ryan Bauman
 Action: Searched 1025271-Cover
Date: 11/29/2023 2:41:52 PM
 User: Ryan Bauman
 Action: Received In 1025271-Cover
Date: 11/29/2023 2:41:56 PM
 User: Ryan Bauman
 Action: Searched 1025271-Cover
Date: 11/29/2023 2:42:26 PM
 User: Ryan Bauman
 Action: Searched 1025271-Tube
Date: 11/29/2023 2:42:42 PM
 User: Ryan Bauman
 Action: Usage Report 1025271-Tube
Date: 11/29/2023 2:42:46 PM
 User: Ryan Bauman
 Action: Searched 1025271-Tube
Date: 11/29/2023 2:43:03 PM
 User: Ryan Bauman
 Action: Searched 1021870-PTN
Date: 11/29/2023 2:43:13 PM
 User: Ryan Bauman
 Action: Usage Report 1021870-PTN
Date: 11/29/2023 2:43:17 PM
 User: Ryan Bauman
 Action: Searched 1021870-PTN
Date: 11/29/2023 2:43:34 PM
 User: Ryan Bauman
 Action: Searched 1025134-HSC
Date: 11/29/2023 2:43:43 PM
 User: Ryan Bauman
 Action: Usage Report 1025134-HSC
Date: 11/29/2023 2:43:47 PM
 User: Ryan Bauman
 Action: Searched 1025134-HSC
Date: 11/29/2023 2:43:58 PM
 User: Ryan Bauman
 Action: Searched 1024229-Tubes
Date: 11/29/2023 2:44:09 PM
 User: Ryan Bauman
 Action: Usage Report 1024229-Tubes
Date: 11/29/2023 2:44:13 PM
 User: Ryan Bauman
 Action: Searched 1024229-Tubes
Date: 11/29/2023 2:44:24 PM
 User: Ryan Bauman
 Action: Searched 1024229-HSC
Date: 11/29/2023 2:44:34 PM
 User: Ryan Bauman
 Action: Usage Report 1024229-HSC
Date: 11/29/2023 2:44:38 PM
 User: Ryan Bauman
 Action: Searched 1024229-HSC
Date: 11/29/2023 2:44:44 PM
 User: Ryan Bauman
 Action: Searched Large Envision Boxes
Date: 11/29/2023 2:44:54 PM
 User: Ryan Bauman
 Action: Usage Report Large Envision Boxes
Date: 11/29/2023 2:44:58 PM
 User: Ryan Bauman
 Action: Searched Large Envision Boxes
Date: 11/29/2023 2:45:07 PM
 User: Ryan Bauman
 Action: Searched 39X46-Flats
Date: 11/29/2023 2:45:19 PM
 User: Ryan Bauman
 Action: Usage Report 39X46-Flats
Date: 11/29/2023 2:45:23 PM
 User: Ryan Bauman
 Action: Searched 39X46-Flats
Date: 11/30/2023 10:28:14 AM
 User: Ryan Bauman
 Action: Searched 1024229-Tubes
Date: 11/30/2023 10:28:32 AM
 User: Ryan Bauman
 Action: Received In 1024229-Tubes
Date: 11/30/2023 10:28:36 AM
 User: Ryan Bauman
 Action: Searched 1024229-Tubes
Date: 11/30/2023 10:40:13 AM
 User: Ryan Bauman
 Action: Searched 1025271-Tube
Date: 11/30/2023 10:40:20 AM
 User: Ryan Bauman
 Action: Order Entry 1025271-Tube
Date: 11/30/2023 10:40:24 AM
 User: Ryan Bauman
 Action: Searched 1025271-Tube
Date: 11/30/2023 10:40:46 AM
 User: Ryan Bauman
 Action: Searched 5266759-PTN
Date: 11/30/2023 10:41:05 AM
 User: Ryan Bauman
 Action: Order Entry 5266759-PTN
Date: 11/30/2023 10:41:09 AM
 User: Ryan Bauman
 Action: Searched 5266759-PTN
Date: 11/30/2023 10:41:33 AM
 User: Ryan Bauman
 Action: Searched Console
Date: 11/30/2023 10:41:40 AM
 User: Ryan Bauman
 Action: Searched Console-PTN
Date: 11/30/2023 10:41:48 AM
 User: Ryan Bauman
 Action: Order Entry Console-PTN
Date: 11/30/2023 10:41:52 AM
 User: Ryan Bauman
 Action: Searched Console-PTN
Date: 12/9/2023 9:10:15 AM
 User: Ryan Bauman
 Action: Searched 1025134-Tubes
Date: 12/9/2023 9:10:31 AM
 User: Ryan Bauman
 Action: Usage Report 1025134-Tubes
Date: 12/9/2023 9:10:35 AM
 User: Ryan Bauman
 Action: Searched 1025134-Tubes
Date: 12/9/2023 9:10:51 AM
 User: Ryan Bauman
 Action: Searched 1023049-Tube
Date: 12/9/2023 9:11:09 AM
 User: Ryan Bauman
 Action: Usage Report 1023049-Tube
Date: 12/9/2023 9:11:13 AM
 User: Ryan Bauman
 Action: Searched 1023049-Tube
Date: 12/9/2023 9:11:38 AM
 User: Ryan Bauman
 Action: Searched 1024229-Tubes
Date: 12/9/2023 9:11:50 AM
 User: Ryan Bauman
 Action: Usage Report 1024229-Tubes
Date: 12/9/2023 9:11:54 AM
 User: Ryan Bauman
 Action: Searched 1024229-Tubes
Date: 12/9/2023 9:12:10 AM
 User: Ryan Bauman
 Action: Searched 1021997R2-HSC
Date: 12/9/2023 9:12:21 AM
 User: Ryan Bauman
 Action: Usage Report 1021997R2-HSC
Date: 12/9/2023 9:12:25 AM
 User: Ryan Bauman
 Action: Searched 1021997R2-HSC
Date: 12/9/2023 9:12:39 AM
 User: Ryan Bauman
 Action: Searched 1021997R2-Tubes
Date: 12/9/2023 9:12:49 AM
 User: Ryan Bauman
 Action: Usage Report 1021997R2-Tubes
Date: 12/9/2023 9:12:53 AM
 User: Ryan Bauman
 Action: Searched 1021997R2-Tubes
Date: 12/9/2023 9:13:11 AM
 User: Ryan Bauman
 Action: Searched 1025271-Tube
Date: 12/9/2023 9:13:22 AM
 User: Ryan Bauman
 Action: Received In 1025271-Tube
Date: 12/9/2023 9:13:26 AM
 User: Ryan Bauman
 Action: Searched 1025271-Tube
Date: 12/20/2023 11:23:30 AM
 User: Ryan Bauman
 Action: Searched 1023049-Tray
Date: 12/20/2023 11:23:41 AM
 User: Ryan Bauman
 Action: Usage Report 1023049-Tray
Date: 12/20/2023 11:23:45 AM
 User: Ryan Bauman
 Action: Searched 1023049-Tray
Date: 12/20/2023 11:24:00 AM
 User: Ryan Bauman
 Action: Searched 1021997R2-Tubes
Date: 12/20/2023 11:24:11 AM
 User: Ryan Bauman
 Action: Usage Report 1021997R2-Tubes
Date: 12/20/2023 11:24:15 AM
 User: Ryan Bauman
 Action: Searched 1021997R2-Tubes
Date: 12/20/2023 11:24:24 AM
 User: Ryan Bauman
 Action: Searched 39X46-Flats
Date: 12/20/2023 11:24:34 AM
 User: Ryan Bauman
 Action: Usage Report 39X46-Flats
Date: 12/20/2023 11:24:38 AM
 User: Ryan Bauman
 Action: Searched 39X46-Flats
Date: 12/20/2023 11:25:07 AM
 User: Ryan Bauman
 Action: Searched 1025271-Tube
Date: 12/20/2023 11:25:24 AM
 User: Ryan Bauman
 Action: Received In 1025271-Tube
Date: 12/20/2023 11:25:28 AM
 User: Ryan Bauman
 Action: Searched 1025271-Tube
Date: 12/20/2023 11:25:51 AM
 User: Ryan Bauman
 Action: Received In 1025271-Tube
Date: 12/20/2023 11:25:55 AM
 User: Ryan Bauman
 Action: Searched 1025271-Tube
Date: 12/20/2023 11:26:12 AM
 User: Ryan Bauman
 Action: Searched 1023049-Tube
Date: 12/20/2023 11:26:38 AM
 User: Ryan Bauman
 Action: Received In 1023049-Tube
Date: 12/20/2023 11:26:42 AM
 User: Ryan Bauman
 Action: Searched 1023049-Tube
Date: 12/20/2023 11:27:01 AM
 User: Ryan Bauman
 Action: Searched Console-PTN
Date: 12/20/2023 11:27:30 AM
 User: Ryan Bauman
 Action: Received In Console-PTN
Date: 12/20/2023 11:27:34 AM
 User: Ryan Bauman
 Action: Searched Console-PTN
Date: 12/22/2023 10:56:56 AM
 User: Ryan Bauman
 Action: Searched 1025271-Tube
Date: 12/22/2023 10:57:09 AM
 User: Ryan Bauman
 Action: Received In 1025271-Tube
Date: 12/22/2023 10:57:13 AM
 User: Ryan Bauman
 Action: Searched 1025271-Tube
Date: 1/19/2024 8:44:00 AM
 User: Ryan Bauman
 Action: Searched 1021997R2-Tubes
Date: 1/19/2024 8:44:21 AM
 User: Ryan Bauman
 Action: Usage Report 1021997R2-Tubes
Date: 1/19/2024 8:44:25 AM
 User: Ryan Bauman
 Action: Searched 1021997R2-Tubes
Date: 1/19/2024 8:44:37 AM
 User: Ryan Bauman
 Action: Searched 1021997R2-Tubes
Date: 1/19/2024 8:44:57 AM
 User: Ryan Bauman
 Action: Usage Report 1021997R2-Tubes
Date: 1/19/2024 8:45:01 AM
 User: Ryan Bauman
 Action: Searched 1021997R2-Tubes
Date: 1/19/2024 8:45:35 AM
 User: Ryan Bauman
 Action: Searched 1024229-Tubes
Date: 1/19/2024 8:45:47 AM
 User: Ryan Bauman
 Action: Usage Report 1024229-Tubes
Date: 1/19/2024 8:45:51 AM
 User: Ryan Bauman
 Action: Searched 1024229-Tubes
Date: 1/19/2024 8:46:02 AM
 User: Ryan Bauman
 Action: Searched 1024229-HSC
Date: 1/19/2024 8:46:24 AM
 User: Ryan Bauman
 Action: Usage Report 1024229-HSC
Date: 1/19/2024 8:46:28 AM
 User: Ryan Bauman
 Action: Searched 1024229-HSC
Date: 1/19/2024 8:46:47 AM
 User: Ryan Bauman
 Action: Searched 1027828-Tube
Date: 1/19/2024 8:46:58 AM
 User: Ryan Bauman
 Action: Usage Report 1027828-Tube
Date: 1/19/2024 8:47:02 AM
 User: Ryan Bauman
 Action: Searched 1027828-Tube
Date: 1/19/2024 8:47:17 AM
 User: Ryan Bauman
 Action: Searched Console
Date: 1/19/2024 8:47:27 AM
 User: Ryan Bauman
 Action: Usage Report Console
Date: 1/19/2024 8:47:31 AM
 User: Ryan Bauman
 Action: Searched Console
Date: 1/19/2024 8:47:47 AM
 User: Ryan Bauman
 Action: Searched 1019176-02-HSC
Date: 1/19/2024 8:48:01 AM
 User: Ryan Bauman
 Action: Usage Report 1019176-02-HSC
Date: 1/19/2024 8:48:05 AM
 User: Ryan Bauman
 Action: Searched 1019176-02-HSC
Date: 1/19/2024 8:48:23 AM
 User: Ryan Bauman
 Action: Searched 5266759-Pad
Date: 1/19/2024 8:48:47 AM
 User: Ryan Bauman
 Action: Usage Report 5266759-Pad
Date: 1/19/2024 8:48:51 AM
 User: Ryan Bauman
 Action: Searched 5266759-Pad
Date: 1/19/2024 8:49:01 AM
 User: Ryan Bauman
 Action: Searched 39X46-Flats
Date: 1/19/2024 8:49:20 AM
 User: Ryan Bauman
 Action: Usage Report 39X46-Flats
Date: 1/19/2024 8:49:24 AM
 User: Ryan Bauman
 Action: Searched 39X46-Flats
Date: 1/19/2024 8:49:37 AM
 User: Ryan Bauman
 Action: Searched 1023049-Tube
Date: 1/19/2024 8:49:52 AM
 User: Ryan Bauman
 Action: Usage Report 1023049-Tube
Date: 1/19/2024 8:49:56 AM
 User: Ryan Bauman
 Action: Searched 1023049-Tube
Date: 1/19/2024 8:50:23 AM
 User: Ryan Bauman
 Action: Searched 1025271-Tube
Date: 1/19/2024 8:50:33 AM
 User: Ryan Bauman
 Action: Usage Report 1025271-Tube
Date: 1/19/2024 8:50:37 AM
 User: Ryan Bauman
 Action: Searched 1025271-Tube
Date: 1/19/2024 8:50:52 AM
 User: Ryan Bauman
 Action: Searched 1025134-Cover
Date: 1/19/2024 8:51:03 AM
 User: Ryan Bauman
 Action: Usage Report 1025134-Cover
Date: 1/19/2024 8:51:07 AM
 User: Ryan Bauman
 Action: Searched 1025134-Cover
Date: 1/19/2024 8:51:16 AM
 User: Ryan Bauman
 Action: Searched 1025271-Cover
Date: 1/19/2024 8:51:31 AM
 User: Ryan Bauman
 Action: Usage Report 1025271-Cover
Date: 1/19/2024 8:51:35 AM
 User: Ryan Bauman
 Action: Searched 1025271-Cover
Date: 1/19/2024 8:51:48 AM
 User: Ryan Bauman
 Action: Searched 1025134-Tubes
Date: 1/19/2024 8:52:06 AM
 User: Ryan Bauman
 Action: Usage Report 1025134-Tubes
Date: 1/19/2024 8:52:10 AM
 User: Ryan Bauman
 Action: Searched 1025134-Tubes
Date: 1/24/2024 2:46:31 PM
 User: Ryan Bauman
 Action: Searched 1021997R2-Tubes
Date: 1/24/2024 2:46:53 PM
 User: Ryan Bauman
 Action: Usage Report 1021997R2-Tubes
Date: 1/24/2024 2:46:57 PM
 User: Ryan Bauman
 Action: Searched 1021997R2-Tubes
Date: 1/24/2024 2:47:18 PM
 User: Ryan Bauman
 Action: Order Entry 1021997R2-Tubes
Date: 1/24/2024 2:47:22 PM
 User: Ryan Bauman
 Action: Searched 1021997R2-Tubes
Date: 1/24/2024 2:47:34 PM
 User: Ryan Bauman
 Action: Searched 1025134-Tubes
Date: 1/24/2024 2:47:40 PM
 User: Ryan Bauman
 Action: Order Entry 1025134-Tubes
Date: 1/24/2024 2:47:44 PM
 User: Ryan Bauman
 Action: Searched 1025134-Tubes
Date: 1/24/2024 2:47:55 PM
 User: Ryan Bauman
 Action: Searched 1024229-Tubes
Date: 1/24/2024 2:48:07 PM
 User: Ryan Bauman
 Action: Order Entry 1024229-Tubes
Date: 1/24/2024 2:48:11 PM
 User: Ryan Bauman
 Action: Searched 1024229-Tubes
Date: 1/24/2024 2:48:21 PM
 User: Ryan Bauman
 Action: Searched 39X46-Flats
Date: 1/24/2024 2:48:27 PM
 User: Ryan Bauman
 Action: Order Entry 39X46-Flats
Date: 1/24/2024 2:48:31 PM
 User: Ryan Bauman
 Action: Searched 39X46-Flats
Date: 1/24/2024 2:48:49 PM
 User: Ryan Bauman
 Action: Searched 1025134-HSC
Date: 1/24/2024 2:48:58 PM
 User: Ryan Bauman
 Action: Order Entry 1025134-HSC
Date: 1/24/2024 2:49:02 PM
 User: Ryan Bauman
 Action: Searched 1025134-HSC
Date: 1/24/2024 2:49:09 PM
 User: Ryan Bauman
 Action: Searched 1025134-Cover
Date: 1/24/2024 2:49:16 PM
 User: Ryan Bauman
 Action: Order Entry 1025134-Cover
Date: 1/24/2024 2:49:20 PM
 User: Ryan Bauman
 Action: Searched 1025134-Cover
Date: 1/24/2024 2:49:34 PM
 User: Ryan Bauman
 Action: Searched 1027828-Tube
Date: 1/24/2024 2:49:43 PM
 User: Ryan Bauman
 Action: Usage Report 1027828-Tube
Date: 1/24/2024 2:49:47 PM
 User: Ryan Bauman
 Action: Searched 1027828-Tube
Date: 1/24/2024 2:50:01 PM
 User: Ryan Bauman
 Action: Searched 1025134-Tubes
Date: 1/24/2024 2:50:10 PM
 User: Ryan Bauman
 Action: Usage Report 1025134-Tubes
Date: 1/24/2024 2:50:14 PM
 User: Ryan Bauman
 Action: Searched 1025134-Tubes
Date: 2/8/2024 8:04:40 AM
 User: Ryan Bauman
 Action: Searched 1025134-Tubes
Date: 2/8/2024 8:04:56 AM
 User: Ryan Bauman
 Action: Received In 1025134-Tubes
Date: 2/8/2024 8:05:00 AM
 User: Ryan Bauman
 Action: Searched 1025134-Tubes
Date: 2/8/2024 8:05:24 AM
 User: Ryan Bauman
 Action: Searched 1021997R2-Tubes
Date: 2/8/2024 8:05:41 AM
 User: Ryan Bauman
 Action: Received In 1021997R2-Tubes
Date: 2/8/2024 8:05:45 AM
 User: Ryan Bauman
 Action: Searched 1021997R2-Tubes
Date: 2/8/2024 8:06:11 AM
 User: Ryan Bauman
 Action: Searched 1024229-Tubes
Date: 2/8/2024 8:06:26 AM
 User: Ryan Bauman
 Action: Received In 1024229-Tubes
Date: 2/8/2024 8:06:30 AM
 User: Ryan Bauman
 Action: Searched 1024229-Tubes
Date: 2/8/2024 8:06:40 AM
 User: Ryan Bauman
 Action: Searched 39X46-Flats
Date: 2/8/2024 8:06:50 AM
 User: Ryan Bauman
 Action: Received In 39X46-Flats
Date: 2/8/2024 8:06:54 AM
 User: Ryan Bauman
 Action: Searched 39X46-Flats
Date: 2/8/2024 8:08:48 AM
 User: Ryan Bauman
 Action: Searched 1024229-Tubes
Date: 2/8/2024 8:09:02 AM
 User: Ryan Bauman
 Action: Usage Report 1024229-Tubes
Date: 2/8/2024 8:09:06 AM
 User: Ryan Bauman
 Action: Searched 1024229-Tubes
Date: 2/8/2024 8:09:15 AM
 User: Ryan Bauman
 Action: Searched 1025134-HSC
Date: 2/8/2024 8:09:31 AM
 User: Ryan Bauman
 Action: Usage Report 1025134-HSC
Date: 2/8/2024 8:09:35 AM
 User: Ryan Bauman
 Action: Searched 1025134-HSC
Date: 2/8/2024 8:09:49 AM
 User: Ryan Bauman
 Action: Searched 1023049-Aircell
Date: 2/8/2024 8:10:03 AM
 User: Ryan Bauman
 Action: Usage Report 1023049-Aircell
Date: 2/8/2024 8:10:07 AM
 User: Ryan Bauman
 Action: Searched 1023049-Aircell
Date: 2/8/2024 8:10:18 AM
 User: Ryan Bauman
 Action: Searched 1025271-Cover
Date: 2/8/2024 8:10:30 AM
 User: Ryan Bauman
 Action: Usage Report 1025271-Cover
Date: 2/8/2024 8:10:34 AM
 User: Ryan Bauman
 Action: Searched 1025271-Cover
Date: 2/8/2024 8:10:42 AM
 User: Ryan Bauman
 Action: Searched 1019176-Tray
Date: 2/8/2024 8:10:53 AM
 User: Ryan Bauman
 Action: Usage Report 1019176-Tray
Date: 2/8/2024 8:10:57 AM
 User: Ryan Bauman
 Action: Searched 1019176-Tray
Date: 2/8/2024 8:47:56 AM
 User: Ryan Bauman
 Action: Searched 1025134-Cover
Date: 2/8/2024 8:48:10 AM
 User: Ryan Bauman
 Action: Received In 1025134-Cover
Date: 2/8/2024 8:48:14 AM
 User: Ryan Bauman
 Action: Searched 1025134-Cover
Date: 2/8/2024 8:54:10 AM
 User: Ryan Bauman
 Action: Searched 1023049-Tray
Date: 2/8/2024 8:54:19 AM
 User: Ryan Bauman
 Action: Order Entry 1023049-Tray
Date: 2/8/2024 8:54:23 AM
 User: Ryan Bauman
 Action: Searched 1023049-Tray
Date: 2/8/2024 8:54:32 AM
 User: Ryan Bauman
 Action: Searched 1023049-Aircell
Date: 2/8/2024 8:54:41 AM
 User: Ryan Bauman
 Action: Order Entry 1023049-Aircell
Date: 2/8/2024 8:54:45 AM
 User: Ryan Bauman
 Action: Searched 1023049-Aircell
Date: 2/8/2024 8:55:13 AM
 User: Ryan Bauman
 Action: Searched 1025134-HSC
Date: 2/8/2024 8:55:21 AM
 User: Ryan Bauman
 Action: Order Entry 1025134-HSC
Date: 2/8/2024 8:55:25 AM
 User: Ryan Bauman
 Action: Searched 1025134-HSC
Date: 2/8/2024 8:55:37 AM
 User: Ryan Bauman
 Action: Searched 1021997R2-HSC
Date: 2/8/2024 8:55:44 AM
 User: Ryan Bauman
 Action: Order Entry 1021997R2-HSC
Date: 2/8/2024 8:55:48 AM
 User: Ryan Bauman
 Action: Searched 1021997R2-HSC
Date: 2/8/2024 8:56:11 AM
 User: Ryan Bauman
 Action: Searched 1021997R2-Cover
Date: 2/8/2024 8:56:21 AM
 User: Ryan Bauman
 Action: Order Entry 1021997R2-Cover
Date: 2/8/2024 8:56:25 AM
 User: Ryan Bauman
 Action: Searched 1021997R2-Cover
Date: 2/14/2024 9:15:09 AM
 User: Alex Fare
 Action: Searched 1024229-Tubes
Date: 2/14/2024 9:15:30 AM
 User: Alex Fare
 Action: Searched 1024229-HSC
 _x000D_
Date: 2/22/2024 11:09:57 AM_x000D_
 User: Ryan Bauman_x000D_
 Action: Searched 1021997R2-Tubes_x000D_
 _x000D_
Date: 2/22/2024 11:10:18 AM_x000D_
 User: Ryan Bauman_x000D_
 Action: Usage Report 1021997R2-Tubes_x000D_
 _x000D_
Date: 2/22/2024 11:10:22 AM_x000D_
 User: Ryan Bauman_x000D_
 Action: Searched 1021997R2-Tubes_x000D_
 _x000D_
Date: 2/22/2024 11:10:36 AM_x000D_
 User: Ryan Bauman_x000D_
 Action: Searched 1023049-Tube_x000D_
 _x000D_
Date: 2/22/2024 11:10:48 AM_x000D_
 User: Ryan Bauman_x000D_
 Action: Usage Report 1023049-Tube_x000D_
 _x000D_
Date: 2/22/2024 11:10:52 AM_x000D_
 User: Ryan Bauman_x000D_
 Action: Searched 1023049-Tube_x000D_
 _x000D_
Date: 2/22/2024 11:11:03 AM_x000D_
 User: Ryan Bauman_x000D_
 Action: Searched 1025320-Tube_x000D_
 _x000D_
Date: 2/22/2024 11:11:15 AM_x000D_
 User: Ryan Bauman_x000D_
 Action: Usage Report 1025320-Tube_x000D_
 _x000D_
Date: 2/22/2024 11:11:19 AM_x000D_
 User: Ryan Bauman_x000D_
 Action: Searched 1025320-Tube_x000D_
 _x000D_
Date: 2/22/2024 11:11:28 AM_x000D_
 User: Ryan Bauman_x000D_
 Action: Searched 39X46-Flats_x000D_
 _x000D_
Date: 2/22/2024 11:11:41 AM_x000D_
 User: Ryan Bauman_x000D_
 Action: Usage Report 39X46-Flats_x000D_
 _x000D_
Date: 2/22/2024 11:11:45 AM_x000D_
 User: Ryan Bauman_x000D_
 Action: Searched 39X46-Flats_x000D_
 _x000D_
Date: 2/22/2024 11:11:58 AM_x000D_
 User: Ryan Bauman_x000D_
 Action: Searched 39X46-Flats_x000D_
 _x000D_
Date: 2/22/2024 11:12:08 AM_x000D_
 User: Ryan Bauman_x000D_
 Action: Usage Report 39X46-Flats_x000D_
 _x000D_
Date: 2/22/2024 11:12:12 AM_x000D_
 User: Ryan Bauman_x000D_
 Action: Searched 39X46-Flats_x000D_
 _x000D_
Date: 2/22/2024 11:12:24 AM_x000D_
 User: Ryan Bauman_x000D_
 Action: Searched 1025271-Tube_x000D_
 _x000D_
Date: 2/22/2024 11:12:34 AM_x000D_
 User: Ryan Bauman_x000D_
 Action: Usage Report 1025271-Tube_x000D_
 _x000D_
Date: 2/22/2024 11:12:38 AM_x000D_
 User: Ryan Bauman_x000D_
 Action: Searched 1025271-Tube_x000D_
 _x000D_
Date: 2/22/2024 11:12:51 AM_x000D_
 User: Ryan Bauman_x000D_
 Action: Searched 1021997R2-HSC_x000D_
 _x000D_
Date: 2/22/2024 11:13:03 AM_x000D_
 User: Ryan Bauman_x000D_
 Action: Usage Report 1021997R2-HSC_x000D_
 _x000D_
Date: 2/22/2024 11:13:07 AM_x000D_
 User: Ryan Bauman_x000D_
 Action: Searched 1021997R2-HSC_x000D_
 _x000D_
Date: 2/22/2024 11:13:36 AM_x000D_
 User: Ryan Bauman_x000D_
 Action: Searched 1025134-Tubes_x000D_
 _x000D_
Date: 2/22/2024 11:13:47 AM_x000D_
 User: Ryan Bauman_x000D_
 Action: Usage Report 1025134-Tubes_x000D_
 _x000D_
Date: 2/22/2024 11:13:51 AM_x000D_
 User: Ryan Bauman_x000D_
 Action: Searched 1025134-Tubes_x000D_
 _x000D_
Date: 2/22/2024 11:14:17 AM_x000D_
 User: Ryan Bauman_x000D_
 Action: Searched 1023049-Aircell_x000D_
 _x000D_
Date: 2/22/2024 11:14:35 AM_x000D_
 User: Ryan Bauman_x000D_
 Action: Received In 1023049-Aircell_x000D_
 _x000D_
Date: 2/22/2024 11:14:39 AM_x000D_
 User: Ryan Bauman_x000D_
 Action: Searched 1023049-Aircell_x000D_
 _x000D_
Date: 2/22/2024 11:14:48 AM_x000D_
 User: Ryan Bauman_x000D_
 Action: Searched 1023049-Tray_x000D_
 _x000D_
Date: 2/22/2024 11:14:59 AM_x000D_
 User: Ryan Bauman_x000D_
 Action: Received In 1023049-Tray_x000D_
 _x000D_
Date: 2/22/2024 11:15:03 AM_x000D_
 User: Ryan Bauman_x000D_
 Action: Searched 1023049-Tray_x000D_
 _x000D_
Date: 2/22/2024 11:15:27 AM_x000D_
 User: Ryan Bauman_x000D_
 Action: Searched 1021997R2-Cover_x000D_
 _x000D_
Date: 2/22/2024 11:15:37 AM_x000D_
 User: Ryan Bauman_x000D_
 Action: Received In 1021997R2-Cover_x000D_
 _x000D_
Date: 2/22/2024 11:15:41 AM_x000D_
 User: Ryan Bauman_x000D_
 Action: Searched 1021997R2-Cover_x000D_
 _x000D_
Date: 2/22/2024 11:16:40 AM_x000D_
 User: Ryan Bauman_x000D_
 Action: Searched 1025134-HSC_x000D_
 _x000D_
Date: 2/22/2024 11:16:50 AM_x000D_
 User: Ryan Bauman_x000D_
 Action: Received In 1025134-HSC_x000D_
 _x000D_
Date: 2/22/2024 11:16:54 AM_x000D_
 User: Ryan Bauman_x000D_
 Action: Searched 1025134-HSC_x000D_
 _x000D_
Date: 2/22/2024 11:22:59 AM_x000D_
 User: Ryan Bauman_x000D_
 Action: Searched 1027828-Tube_x000D_
 _x000D_
Date: 2/22/2024 11:23:08 AM_x000D_
 User: Ryan Bauman_x000D_
 Action: Order Entry 1027828-Tube_x000D_
 _x000D_
Date: 2/22/2024 11:23:12 AM_x000D_
 User: Ryan Bauman_x000D_
 Action: Searched 1027828-Tube_x000D_
 _x000D_
Date: 2/22/2024 11:23:17 AM_x000D_
 User: Ryan Bauman_x000D_
 Action: Searched 1025320-Tube_x000D_
 _x000D_
Date: 2/22/2024 11:23:33 AM_x000D_
 User: Ryan Bauman_x000D_
 Action: Order Entry 1025320-Tube_x000D_
 _x000D_
Date: 2/22/2024 11:23:37 AM_x000D_
 User: Ryan Bauman_x000D_
 Action: Searched 1025320-Tube_x000D_
 _x000D_
Date: 2/27/2024 1:39:03 PM_x000D_
 User: Alex Fare_x000D_
 Action: Searched 1024229-HSC_x000D_
 _x000D_
Date: 2/27/2024 1:39:13 PM_x000D_
 User: Alex Fare_x000D_
 Action: Searched 1024229-HSC_x000D_
 _x000D_
Date: 2/27/2024 1:39:26 PM_x000D_
 User: Alex Fare_x000D_
 Action: Received In 1024229-HSC_x000D_
 _x000D_
Date: 2/27/2024 1:39:30 PM_x000D_
 User: Alex Fare_x000D_
 Action: Searched 1024229-HSC_x000D_
 _x000D_
Date: 2/27/2024 1:39:38 PM_x000D_
 User: Alex Fare_x000D_
 Action: Usage Report 1024229-HSC_x000D_
 _x000D_
Date: 2/27/2024 1:39:42 PM_x000D_
 User: Alex Fare_x000D_
 Action: Searched 1024229-HSC_x000D_
 _x000D_
Date: 2/27/2024 1:39:51 PM_x000D_
 User: Alex Fare_x000D_
 Action: Searched 1024229-HSC_x000D_
 _x000D_
Date: 2/27/2024 1:39:55 PM_x000D_
 User: Alex Fare_x000D_
 Action: Searched 1024229-Cover_x000D_
 _x000D_
Date: 2/27/2024 1:46:37 PM_x000D_
 User: Alex Fare_x000D_
 Action: Searched 1021997R2-HSC_x000D_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</si>
</sst>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12"/>
      <name val="Arial"/>
      <family val="2"/>
    </font>
    <font>
      <b/>
      <sz val="18"/>
      <color theme="1"/>
      <name val="Arial"/>
      <family val="2"/>
    </font>
    <font>
      <b/>
      <sz val="8"/>
      <name val="Arial"/>
      <family val="2"/>
    </font>
    <font>
      <b/>
      <sz val="32"/>
      <name val="Arial"/>
      <family val="2"/>
    </font>
    <font>
      <sz val="10"/>
      <color rgb="FF000000"/>
      <name val="Arial"/>
      <family val="2"/>
    </font>
    <font>
      <b/>
      <sz val="24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14" fontId="1" fillId="0" borderId="1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14" fontId="6" fillId="0" borderId="0" xfId="0" applyNumberFormat="1" applyFont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0" fontId="4" fillId="0" borderId="0" xfId="0" applyFont="1"/>
    <xf numFmtId="0" fontId="8" fillId="2" borderId="1" xfId="0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7" fillId="3" borderId="3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22" fontId="0" fillId="0" borderId="0" xfId="0" applyNumberFormat="1"/>
    <xf numFmtId="1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22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>
      <alignment horizontal="center" vertical="center"/>
    </xf>
    <xf numFmtId="0" fontId="9" fillId="3" borderId="3" xfId="0" applyFont="1" applyFill="1" applyBorder="1" applyAlignment="1">
      <alignment vertical="center"/>
    </xf>
    <xf numFmtId="14" fontId="7" fillId="4" borderId="3" xfId="0" applyNumberFormat="1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right"/>
    </xf>
    <xf numFmtId="14" fontId="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" fillId="4" borderId="1" xfId="0" applyFont="1" applyFill="1" applyBorder="1" applyAlignment="1" applyProtection="1">
      <alignment horizontal="center"/>
      <protection locked="0"/>
    </xf>
    <xf numFmtId="0" fontId="17" fillId="0" borderId="0" xfId="0" applyFont="1" applyAlignment="1">
      <alignment horizontal="left" vertical="top" wrapText="1"/>
    </xf>
    <xf numFmtId="0" fontId="14" fillId="4" borderId="2" xfId="0" applyFont="1" applyFill="1" applyBorder="1" applyAlignment="1">
      <alignment horizontal="left" vertical="center" indent="10"/>
    </xf>
    <xf numFmtId="0" fontId="14" fillId="4" borderId="3" xfId="0" applyFont="1" applyFill="1" applyBorder="1" applyAlignment="1">
      <alignment horizontal="left" vertical="center" indent="10"/>
    </xf>
    <xf numFmtId="0" fontId="1" fillId="0" borderId="0" xfId="0" applyFont="1" applyAlignment="1">
      <alignment horizontal="left" vertical="center"/>
    </xf>
    <xf numFmtId="0" fontId="5" fillId="0" borderId="5" xfId="0" applyFont="1" applyBorder="1" applyAlignment="1">
      <alignment horizontal="right"/>
    </xf>
    <xf numFmtId="0" fontId="5" fillId="0" borderId="6" xfId="0" applyFont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43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0</xdr:col>
          <xdr:colOff>838200</xdr:colOff>
          <xdr:row>0</xdr:row>
          <xdr:rowOff>676275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2</xdr:col>
          <xdr:colOff>581025</xdr:colOff>
          <xdr:row>0</xdr:row>
          <xdr:rowOff>552450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  <a:ext uri="{FF2B5EF4-FFF2-40B4-BE49-F238E27FC236}">
                  <a16:creationId xmlns:a16="http://schemas.microsoft.com/office/drawing/2014/main" id="{00000000-0008-0000-0100-0000014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8</xdr:col>
          <xdr:colOff>581025</xdr:colOff>
          <xdr:row>2</xdr:row>
          <xdr:rowOff>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  <a:ext uri="{FF2B5EF4-FFF2-40B4-BE49-F238E27FC236}">
                  <a16:creationId xmlns:a16="http://schemas.microsoft.com/office/drawing/2014/main" id="{00000000-0008-0000-0200-0000014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28575</xdr:rowOff>
        </xdr:from>
        <xdr:to>
          <xdr:col>11</xdr:col>
          <xdr:colOff>590550</xdr:colOff>
          <xdr:row>3</xdr:row>
          <xdr:rowOff>19050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Y3" insertRow="1" totalsRowShown="0" headerRowDxfId="41" dataDxfId="39" headerRowBorderDxfId="40" tableBorderDxfId="38" totalsRowBorderDxfId="37" dataCellStyle="Normal">
  <autoFilter ref="A2:Y3" xr:uid="{00000000-000C-0000-FFFF-FFFF00000000}"/>
  <sortState xmlns:xlrd2="http://schemas.microsoft.com/office/spreadsheetml/2017/richdata2" ref="A3:X3">
    <sortCondition ref="G2:G3"/>
  </sortState>
  <tableColumns count="25">
    <tableColumn id="1" xr3:uid="{00000000-0010-0000-0000-000001000000}" name="Product" dataDxfId="36" dataCellStyle="Normal"/>
    <tableColumn id="2" xr3:uid="{00000000-0010-0000-0000-000002000000}" name="Description" dataDxfId="35" dataCellStyle="Normal"/>
    <tableColumn id="3" xr3:uid="{00000000-0010-0000-0000-000003000000}" name="Inventory" dataDxfId="34" dataCellStyle="Normal"/>
    <tableColumn id="28" xr3:uid="{00000000-0010-0000-0000-00001C000000}" name="On-Order" dataDxfId="33" dataCellStyle="Normal"/>
    <tableColumn id="4" xr3:uid="{00000000-0010-0000-0000-000004000000}" name="Column5" dataDxfId="32" dataCellStyle="Normal"/>
    <tableColumn id="6" xr3:uid="{00000000-0010-0000-0000-000006000000}" name="Column1" dataDxfId="31" dataCellStyle="Normal"/>
    <tableColumn id="13" xr3:uid="{00000000-0010-0000-0000-00000D000000}" name="Column2" dataDxfId="30" dataCellStyle="Normal"/>
    <tableColumn id="14" xr3:uid="{00000000-0010-0000-0000-00000E000000}" name="Column3" dataDxfId="29" dataCellStyle="Normal"/>
    <tableColumn id="15" xr3:uid="{00000000-0010-0000-0000-00000F000000}" name="Column4" dataDxfId="28" dataCellStyle="Normal"/>
    <tableColumn id="26" xr3:uid="{F302B3B8-726D-437B-AE96-924B96DD02A9}" name="Column6" dataDxfId="27" dataCellStyle="Normal"/>
    <tableColumn id="27" xr3:uid="{3A1E958A-2D55-4C38-AA07-147E040F2039}" name="Column7" dataDxfId="26" dataCellStyle="Normal"/>
    <tableColumn id="29" xr3:uid="{3CF72203-9A71-4747-B9BD-0B343E238B2C}" name="Column8" dataDxfId="25" dataCellStyle="Normal"/>
    <tableColumn id="30" xr3:uid="{EFA9826E-E596-491C-8105-9FECD19B415B}" name="Column9" dataDxfId="24" dataCellStyle="Normal"/>
    <tableColumn id="31" xr3:uid="{ACD27D31-BCC1-4277-A69A-FCD29F8E0708}" name="Column10" dataDxfId="23" dataCellStyle="Normal"/>
    <tableColumn id="32" xr3:uid="{6FFC087D-F750-4A9F-A0C4-B07E16ED8562}" name="Column11" dataDxfId="22" dataCellStyle="Normal"/>
    <tableColumn id="33" xr3:uid="{4DE94D4A-66B8-47AB-B341-C2B2252AB00E}" name="Column12" dataDxfId="21" dataCellStyle="Normal"/>
    <tableColumn id="34" xr3:uid="{76D8C600-BCC1-4D14-9315-013D25B69F46}" name="Column13" dataDxfId="20" dataCellStyle="Normal"/>
    <tableColumn id="35" xr3:uid="{D3EC9C14-7821-46E6-850E-0286AFDB0D24}" name="lblUsageReport" dataDxfId="19" dataCellStyle="Normal"/>
    <tableColumn id="36" xr3:uid="{DDBCAFCA-129D-4BF2-B73C-8A83EA0C5490}" name="lblOrderEntry" dataDxfId="18" dataCellStyle="Normal"/>
    <tableColumn id="37" xr3:uid="{2DE193DF-382B-4934-80F9-03B1BB192386}" name="lblReceivedIn" dataDxfId="17" dataCellStyle="Normal"/>
    <tableColumn id="38" xr3:uid="{03B9D41A-44A7-4888-A296-04FBDB05A292}" name="Last Edited" dataDxfId="16" dataCellStyle="Normal"/>
    <tableColumn id="39" xr3:uid="{9E0B8D91-13F8-42E3-8BBD-3B2241BC4C32}" name="Last Searched" dataDxfId="15" dataCellStyle="Normal"/>
    <tableColumn id="40" xr3:uid="{4F35AD6F-9C9B-4E17-BE8B-B0F61729F2DF}" name="Last User" dataDxfId="14" dataCellStyle="Normal"/>
    <tableColumn id="41" xr3:uid="{B36EB548-EE6A-4C73-B269-5F2542373FA9}" name="Attachment" dataDxfId="13" dataCellStyle="Normal"/>
    <tableColumn id="5" xr3:uid="{8D896821-D2C0-4509-8AA1-ABFBEE47A840}" name="Column14" dataDxfId="12" dataCellStyle="Normal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2" totalsRowShown="0" headerRowDxfId="11" dataDxfId="10">
  <autoFilter ref="A1:G2" xr:uid="{5CDBBC90-E356-4AF3-8E2D-746A3FF6ED4F}"/>
  <tableColumns count="7">
    <tableColumn id="1" xr3:uid="{00248448-9583-4BF4-8219-C71E3BF5723A}" name="Username" dataDxfId="9"/>
    <tableColumn id="2" xr3:uid="{E62986C9-719D-4642-8175-2FAE8B4080D1}" name="Password" dataDxfId="8"/>
    <tableColumn id="3" xr3:uid="{32583A32-F66F-4869-A51C-611BC0019ACC}" name="Name" dataDxfId="7"/>
    <tableColumn id="4" xr3:uid="{6A26537B-3C80-40CA-9ABA-26F1F974DFF9}" name="Phone Number" dataDxfId="6"/>
    <tableColumn id="5" xr3:uid="{FB9FAC29-D9B4-44ED-9C2A-8903C5A17DD0}" name="Address" dataDxfId="5"/>
    <tableColumn id="6" xr3:uid="{508FB15F-1DF8-4E79-BB18-F656AA929A24}" name="Job Position" dataDxfId="4"/>
    <tableColumn id="7" xr3:uid="{162140D5-7A7B-4BD5-86DC-5054B0EA286B}" name="Email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"/>
  <sheetViews>
    <sheetView showGridLines="0" tabSelected="1" zoomScaleNormal="100" zoomScaleSheetLayoutView="69" workbookViewId="0">
      <pane ySplit="2" topLeftCell="A3" activePane="bottomLeft" state="frozen"/>
      <selection pane="bottomLeft" activeCell="AC24" sqref="AC24"/>
    </sheetView>
  </sheetViews>
  <sheetFormatPr defaultColWidth="14.5703125" defaultRowHeight="16.350000000000001" customHeight="1" x14ac:dyDescent="0.2"/>
  <cols>
    <col min="1" max="1" width="35.7109375" style="3" customWidth="1"/>
    <col min="2" max="2" width="50.7109375" style="3" customWidth="1"/>
    <col min="3" max="4" width="25.7109375" style="28" customWidth="1"/>
    <col min="5" max="5" width="20.140625" style="25" hidden="1" customWidth="1"/>
    <col min="6" max="6" width="20.42578125" style="20" hidden="1" customWidth="1"/>
    <col min="7" max="7" width="17.7109375" style="20" hidden="1" customWidth="1"/>
    <col min="8" max="8" width="15" style="3" hidden="1" customWidth="1"/>
    <col min="9" max="9" width="20.42578125" style="3" hidden="1" customWidth="1"/>
    <col min="10" max="19" width="14.5703125" style="1" hidden="1" customWidth="1"/>
    <col min="20" max="20" width="14.5703125" style="6" hidden="1" customWidth="1"/>
    <col min="21" max="21" width="15.42578125" style="6" hidden="1" customWidth="1"/>
    <col min="22" max="22" width="25.28515625" style="6" hidden="1" customWidth="1"/>
    <col min="23" max="23" width="14.5703125" style="1" hidden="1" customWidth="1"/>
    <col min="24" max="24" width="18.7109375" style="1" hidden="1" customWidth="1"/>
    <col min="25" max="25" width="125.7109375" style="18" hidden="1" customWidth="1"/>
    <col min="26" max="16384" width="14.5703125" style="1"/>
  </cols>
  <sheetData>
    <row r="1" spans="1:40" ht="60" x14ac:dyDescent="0.2">
      <c r="A1" s="41" t="s">
        <v>58</v>
      </c>
      <c r="B1" s="42"/>
      <c r="C1" s="30">
        <f ca="1">TODAY()</f>
        <v>45349</v>
      </c>
      <c r="D1" s="31" t="s">
        <v>62</v>
      </c>
      <c r="E1" s="29"/>
      <c r="F1" s="29"/>
      <c r="G1" s="29"/>
      <c r="H1" s="29"/>
      <c r="I1" s="17"/>
      <c r="Z1" s="37"/>
    </row>
    <row r="2" spans="1:40" s="2" customFormat="1" ht="44.25" customHeight="1" x14ac:dyDescent="0.2">
      <c r="A2" s="26" t="s">
        <v>42</v>
      </c>
      <c r="B2" s="26" t="s">
        <v>0</v>
      </c>
      <c r="C2" s="26" t="s">
        <v>43</v>
      </c>
      <c r="D2" s="26" t="s">
        <v>44</v>
      </c>
      <c r="E2" s="26" t="s">
        <v>4</v>
      </c>
      <c r="F2" s="13" t="s">
        <v>41</v>
      </c>
      <c r="G2" s="14" t="s">
        <v>1</v>
      </c>
      <c r="H2" s="12" t="s">
        <v>2</v>
      </c>
      <c r="I2" s="12" t="s">
        <v>3</v>
      </c>
      <c r="J2" s="15" t="s">
        <v>50</v>
      </c>
      <c r="K2" s="15" t="s">
        <v>51</v>
      </c>
      <c r="L2" s="15" t="s">
        <v>52</v>
      </c>
      <c r="M2" s="15" t="s">
        <v>53</v>
      </c>
      <c r="N2" s="15" t="s">
        <v>54</v>
      </c>
      <c r="O2" s="15" t="s">
        <v>55</v>
      </c>
      <c r="P2" s="15" t="s">
        <v>56</v>
      </c>
      <c r="Q2" s="15" t="s">
        <v>57</v>
      </c>
      <c r="R2" s="15" t="s">
        <v>49</v>
      </c>
      <c r="S2" s="15" t="s">
        <v>48</v>
      </c>
      <c r="T2" s="16" t="s">
        <v>47</v>
      </c>
      <c r="U2" s="16" t="s">
        <v>5</v>
      </c>
      <c r="V2" s="16" t="s">
        <v>6</v>
      </c>
      <c r="W2" s="15" t="s">
        <v>7</v>
      </c>
      <c r="X2" s="15" t="s">
        <v>35</v>
      </c>
      <c r="Y2" s="15" t="s">
        <v>60</v>
      </c>
      <c r="Z2" s="38"/>
    </row>
    <row r="3" spans="1:40" s="5" customFormat="1" ht="16.350000000000001" customHeight="1" x14ac:dyDescent="0.2">
      <c r="A3" s="25"/>
      <c r="B3" s="25"/>
      <c r="C3" s="33"/>
      <c r="D3" s="25"/>
      <c r="E3" s="25"/>
      <c r="F3" s="24"/>
      <c r="G3" s="24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4"/>
      <c r="U3" s="24"/>
      <c r="V3" s="24"/>
      <c r="W3" s="23"/>
      <c r="X3" s="23"/>
      <c r="Y3" s="36"/>
      <c r="Z3" s="39"/>
      <c r="AL3" s="32"/>
      <c r="AM3" s="27">
        <v>45349.569340277776</v>
      </c>
      <c r="AN3" s="5" t="s">
        <v>45</v>
      </c>
    </row>
  </sheetData>
  <sheetProtection formatCells="0" selectLockedCells="1" sort="0" autoFilter="0" pivotTables="0" selectUnlockedCells="1"/>
  <protectedRanges>
    <protectedRange sqref="A3:I7916" name="Range1"/>
  </protectedRanges>
  <dataConsolidate/>
  <mergeCells count="1">
    <mergeCell ref="A1:B1"/>
  </mergeCells>
  <phoneticPr fontId="0" type="noConversion"/>
  <conditionalFormatting sqref="G3">
    <cfRule type="containsBlanks" priority="5" stopIfTrue="1">
      <formula>LEN(TRIM(G3))=0</formula>
    </cfRule>
    <cfRule type="cellIs" dxfId="2" priority="6" stopIfTrue="1" operator="lessThan">
      <formula>#REF!</formula>
    </cfRule>
    <cfRule type="cellIs" dxfId="1" priority="7" stopIfTrue="1" operator="greaterThan">
      <formula>#REF!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838200</xdr:colOff>
                    <xdr:row>0</xdr:row>
                    <xdr:rowOff>676275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79049-F641-4212-906D-CEDAA7442971}">
  <sheetPr codeName="Sheet3"/>
  <dimension ref="A1:A2"/>
  <sheetViews>
    <sheetView workbookViewId="0">
      <selection activeCell="D6" sqref="D6"/>
    </sheetView>
  </sheetViews>
  <sheetFormatPr defaultRowHeight="12.75" x14ac:dyDescent="0.2"/>
  <cols>
    <col min="1" max="1" width="114.28515625" style="34" customWidth="1"/>
  </cols>
  <sheetData>
    <row r="1" spans="1:1" ht="47.25" customHeight="1" x14ac:dyDescent="0.2">
      <c r="A1" s="35" t="s">
        <v>59</v>
      </c>
    </row>
    <row r="2" spans="1:1" ht="409.5" x14ac:dyDescent="0.2">
      <c r="A2" s="40" t="s">
        <v>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3" name="Button 1">
              <controlPr defaultSize="0" print="0" autoFill="0" autoPict="0" macro="[0]!Home_Click">
                <anchor moveWithCells="1" siz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2"/>
  <sheetViews>
    <sheetView workbookViewId="0">
      <selection activeCell="B10" sqref="B10"/>
    </sheetView>
  </sheetViews>
  <sheetFormatPr defaultRowHeight="12.75" x14ac:dyDescent="0.2"/>
  <cols>
    <col min="1" max="1" width="12.42578125" bestFit="1" customWidth="1"/>
    <col min="2" max="2" width="98" style="4" bestFit="1" customWidth="1"/>
    <col min="3" max="3" width="9" bestFit="1" customWidth="1"/>
    <col min="4" max="4" width="17" bestFit="1" customWidth="1"/>
    <col min="5" max="5" width="10.42578125" bestFit="1" customWidth="1"/>
    <col min="6" max="6" width="14.7109375" bestFit="1" customWidth="1"/>
    <col min="7" max="7" width="27" bestFit="1" customWidth="1"/>
  </cols>
  <sheetData>
    <row r="1" spans="1:7" x14ac:dyDescent="0.2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</row>
    <row r="2" spans="1:7" x14ac:dyDescent="0.2">
      <c r="A2" s="4" t="s">
        <v>36</v>
      </c>
      <c r="B2" s="4" t="s">
        <v>40</v>
      </c>
      <c r="C2" s="4"/>
      <c r="D2" s="4"/>
      <c r="E2" s="4"/>
      <c r="F2" s="4" t="s">
        <v>36</v>
      </c>
      <c r="G2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Home_Click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8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B55" sqref="B55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11" t="s">
        <v>33</v>
      </c>
    </row>
    <row r="2" spans="1:2" x14ac:dyDescent="0.2">
      <c r="A2" t="s">
        <v>16</v>
      </c>
    </row>
    <row r="3" spans="1:2" x14ac:dyDescent="0.2">
      <c r="A3" t="s">
        <v>11</v>
      </c>
    </row>
    <row r="4" spans="1:2" x14ac:dyDescent="0.2">
      <c r="A4" t="s">
        <v>12</v>
      </c>
    </row>
    <row r="5" spans="1:2" x14ac:dyDescent="0.2">
      <c r="A5" s="4" t="s">
        <v>15</v>
      </c>
      <c r="B5" s="4"/>
    </row>
    <row r="6" spans="1:2" x14ac:dyDescent="0.2">
      <c r="A6" t="s">
        <v>17</v>
      </c>
    </row>
    <row r="7" spans="1:2" x14ac:dyDescent="0.2">
      <c r="A7" t="s">
        <v>18</v>
      </c>
    </row>
    <row r="8" spans="1:2" x14ac:dyDescent="0.2">
      <c r="A8" t="s">
        <v>19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7" t="s">
        <v>20</v>
      </c>
    </row>
    <row r="26" spans="1:1" x14ac:dyDescent="0.2">
      <c r="A26" s="4" t="s">
        <v>21</v>
      </c>
    </row>
    <row r="27" spans="1:1" x14ac:dyDescent="0.2">
      <c r="A27" s="4" t="s">
        <v>22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11" t="s">
        <v>32</v>
      </c>
    </row>
    <row r="47" spans="1:2" x14ac:dyDescent="0.2">
      <c r="A47" s="4" t="s">
        <v>23</v>
      </c>
    </row>
    <row r="48" spans="1:2" x14ac:dyDescent="0.2">
      <c r="A48" s="4" t="s">
        <v>24</v>
      </c>
      <c r="B48">
        <v>1</v>
      </c>
    </row>
    <row r="49" spans="1:5" x14ac:dyDescent="0.2">
      <c r="A49" s="4"/>
    </row>
    <row r="50" spans="1:5" x14ac:dyDescent="0.2">
      <c r="A50" s="4" t="s">
        <v>63</v>
      </c>
    </row>
    <row r="51" spans="1:5" x14ac:dyDescent="0.2">
      <c r="A51" s="4" t="s">
        <v>25</v>
      </c>
    </row>
    <row r="52" spans="1:5" x14ac:dyDescent="0.2">
      <c r="A52" s="4" t="s">
        <v>34</v>
      </c>
      <c r="B52" t="s">
        <v>46</v>
      </c>
    </row>
    <row r="53" spans="1:5" x14ac:dyDescent="0.2">
      <c r="A53" s="4"/>
    </row>
    <row r="54" spans="1:5" x14ac:dyDescent="0.2">
      <c r="A54" s="4"/>
    </row>
    <row r="55" spans="1:5" x14ac:dyDescent="0.2">
      <c r="A55" s="4" t="s">
        <v>30</v>
      </c>
      <c r="B55">
        <v>2</v>
      </c>
      <c r="C55" s="43" t="s">
        <v>31</v>
      </c>
      <c r="D55" s="43"/>
      <c r="E55" s="43"/>
    </row>
    <row r="56" spans="1:5" x14ac:dyDescent="0.2">
      <c r="A56" s="4"/>
      <c r="C56" s="43"/>
      <c r="D56" s="43"/>
      <c r="E56" s="43"/>
    </row>
    <row r="57" spans="1:5" x14ac:dyDescent="0.2">
      <c r="A57" s="4"/>
      <c r="C57" s="21"/>
      <c r="D57" s="22"/>
      <c r="E57" s="22"/>
    </row>
    <row r="58" spans="1:5" hidden="1" x14ac:dyDescent="0.2">
      <c r="A58" s="4"/>
      <c r="C58" s="22"/>
      <c r="D58" s="22"/>
      <c r="E58" s="22"/>
    </row>
    <row r="59" spans="1:5" x14ac:dyDescent="0.2">
      <c r="A59" s="4"/>
      <c r="C59" s="43"/>
      <c r="D59" s="43"/>
      <c r="E59" s="43"/>
    </row>
    <row r="60" spans="1:5" x14ac:dyDescent="0.2">
      <c r="A60" s="4" t="s">
        <v>37</v>
      </c>
      <c r="C60" s="43" t="s">
        <v>31</v>
      </c>
      <c r="D60" s="43"/>
      <c r="E60" s="43"/>
    </row>
    <row r="61" spans="1:5" x14ac:dyDescent="0.2">
      <c r="A61" s="4" t="s">
        <v>38</v>
      </c>
      <c r="C61" s="43" t="s">
        <v>39</v>
      </c>
      <c r="D61" s="43"/>
      <c r="E61" s="43"/>
    </row>
    <row r="62" spans="1:5" x14ac:dyDescent="0.2">
      <c r="A62" s="4" t="s">
        <v>61</v>
      </c>
    </row>
    <row r="226" spans="38:38" x14ac:dyDescent="0.2">
      <c r="AL226" s="19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11</xdr:col>
                    <xdr:colOff>28575</xdr:colOff>
                    <xdr:row>0</xdr:row>
                    <xdr:rowOff>28575</xdr:rowOff>
                  </from>
                  <to>
                    <xdr:col>11</xdr:col>
                    <xdr:colOff>590550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4" t="s">
        <v>26</v>
      </c>
      <c r="B1" s="45"/>
      <c r="C1" s="46"/>
      <c r="D1" s="46"/>
      <c r="E1" s="47"/>
    </row>
    <row r="2" spans="1:5" x14ac:dyDescent="0.2">
      <c r="A2" s="48" t="s">
        <v>27</v>
      </c>
      <c r="B2" s="49"/>
      <c r="C2" s="9"/>
      <c r="D2" s="8" t="s">
        <v>28</v>
      </c>
      <c r="E2" s="10"/>
    </row>
    <row r="3" spans="1:5" x14ac:dyDescent="0.2">
      <c r="A3" s="48" t="s">
        <v>29</v>
      </c>
      <c r="B3" s="49"/>
      <c r="C3" s="53"/>
      <c r="D3" s="53"/>
      <c r="E3" s="54"/>
    </row>
    <row r="4" spans="1:5" ht="13.5" thickBot="1" x14ac:dyDescent="0.25">
      <c r="A4" s="50">
        <f>Admin!B5</f>
        <v>0</v>
      </c>
      <c r="B4" s="51"/>
      <c r="C4" s="51"/>
      <c r="D4" s="51"/>
      <c r="E4" s="52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1db545-b45e-48d4-b977-c2f9889ea4b0">
      <Terms xmlns="http://schemas.microsoft.com/office/infopath/2007/PartnerControls"/>
    </lcf76f155ced4ddcb4097134ff3c332f>
    <TaxCatchAll xmlns="a9e0b126-2f28-4378-8899-9ca8ef18069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17B684C164A1449072FFB822658FF7" ma:contentTypeVersion="10" ma:contentTypeDescription="Create a new document." ma:contentTypeScope="" ma:versionID="be3aa9491619b655b1d611dfd4bc5bc3">
  <xsd:schema xmlns:xsd="http://www.w3.org/2001/XMLSchema" xmlns:xs="http://www.w3.org/2001/XMLSchema" xmlns:p="http://schemas.microsoft.com/office/2006/metadata/properties" xmlns:ns2="cb1db545-b45e-48d4-b977-c2f9889ea4b0" xmlns:ns3="a9e0b126-2f28-4378-8899-9ca8ef180699" targetNamespace="http://schemas.microsoft.com/office/2006/metadata/properties" ma:root="true" ma:fieldsID="8eba38a765e676af69e1c13865c66e1a" ns2:_="" ns3:_="">
    <xsd:import namespace="cb1db545-b45e-48d4-b977-c2f9889ea4b0"/>
    <xsd:import namespace="a9e0b126-2f28-4378-8899-9ca8ef1806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db545-b45e-48d4-b977-c2f9889ea4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b804972-64f6-4a14-bb17-7c23b90425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b126-2f28-4378-8899-9ca8ef18069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5fcdede-a179-44f3-8782-4a3066659612}" ma:internalName="TaxCatchAll" ma:showField="CatchAllData" ma:web="a9e0b126-2f28-4378-8899-9ca8ef1806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BAB674BB-7F26-446A-9EB4-F33A719475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D63861F-D1CB-4773-AB6F-D0823B6D9A52}">
  <ds:schemaRefs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a9e0b126-2f28-4378-8899-9ca8ef180699"/>
    <ds:schemaRef ds:uri="cb1db545-b45e-48d4-b977-c2f9889ea4b0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C066651-1095-4F69-B2D9-F03754C076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db545-b45e-48d4-b977-c2f9889ea4b0"/>
    <ds:schemaRef ds:uri="a9e0b126-2f28-4378-8899-9ca8ef180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CreatedByAlexFare</vt:lpstr>
      <vt:lpstr>Audit</vt:lpstr>
      <vt:lpstr>Credentials</vt:lpstr>
      <vt:lpstr>Admin</vt:lpstr>
      <vt:lpstr>Labels</vt:lpstr>
      <vt:lpstr>Gage_IDs</vt:lpstr>
      <vt:lpstr>inputPassword</vt:lpstr>
      <vt:lpstr>inputUsername</vt:lpstr>
      <vt:lpstr>Password</vt:lpstr>
      <vt:lpstr>CreatedByAlexFare!Print_Area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2024-02-27T18:52:16Z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0x0101009217B684C164A1449072FFB822658FF7</vt:lpwstr>
  </property>
  <property fmtid="{D5CDD505-2E9C-101B-9397-08002B2CF9AE}" pid="3" name="MediaServiceImageTags">
    <vt:lpwstr/>
  </property>
</Properties>
</file>